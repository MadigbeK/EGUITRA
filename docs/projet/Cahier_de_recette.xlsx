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cénarios" sheetId="2" state="visible" r:id="rId2"/>
    <sheet xmlns:r="http://schemas.openxmlformats.org/officeDocument/2006/relationships" name="Synthèse" sheetId="3" state="visible" r:id="rId3"/>
  </sheets>
  <definedNames>
    <definedName name="_xlnm._FilterDatabase" localSheetId="1" hidden="1">'Scénarios'!$A$1:$L$77</definedName>
    <definedName name="_xlnm.Print_Titles" localSheetId="1">'Scénarios'!$1:$1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C1E6B"/>
      <sz val="16"/>
    </font>
    <font>
      <i val="1"/>
      <color rgb="00666666"/>
    </font>
    <font>
      <b val="1"/>
      <color rgb="001A9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C1E6B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Cahier de recette : EGUITRA Finance et AxisPro Suite</t>
        </is>
      </c>
    </row>
    <row r="2">
      <c r="A2" s="2" t="inlineStr">
        <is>
          <t>Offre OTF-EGUITRA-2026-37 · E-VOLUTION XP</t>
        </is>
      </c>
    </row>
    <row r="3">
      <c r="A3" s="3" t="inlineStr"/>
    </row>
    <row r="4">
      <c r="A4" s="4" t="inlineStr">
        <is>
          <t>Objet</t>
        </is>
      </c>
    </row>
    <row r="5">
      <c r="A5" s="3" t="inlineStr">
        <is>
          <t>Vérifier avec les référents, sur l'environnement de recette, chaque attente de l'offre avant la mise en production.</t>
        </is>
      </c>
    </row>
    <row r="6">
      <c r="A6" s="3" t="inlineStr"/>
    </row>
    <row r="7">
      <c r="A7" s="4" t="inlineStr">
        <is>
          <t>Où et avec quels comptes</t>
        </is>
      </c>
    </row>
    <row r="8">
      <c r="A8" s="3" t="inlineStr">
        <is>
          <t>Environnement de recette (adresse remise par le prestataire), avec les comptes personnels de recette de chaque référent.</t>
        </is>
      </c>
    </row>
    <row r="9">
      <c r="A9" s="3" t="inlineStr">
        <is>
          <t>Les données de recette sont une copie ou un extrait des données réelles : rien de ce qui est saisi en recette n'atteint la production.</t>
        </is>
      </c>
    </row>
    <row r="10">
      <c r="A10" s="3" t="inlineStr"/>
    </row>
    <row r="11">
      <c r="A11" s="4" t="inlineStr">
        <is>
          <t>Comment remplir l'onglet Scénarios</t>
        </is>
      </c>
    </row>
    <row r="12">
      <c r="A12" s="3" t="inlineStr">
        <is>
          <t>1. Jouer le scénario tel qu'il est décrit, avec les données d'essai indiquées.</t>
        </is>
      </c>
    </row>
    <row r="13">
      <c r="A13" s="3" t="inlineStr">
        <is>
          <t>2. Noter le résultat obtenu, puis choisir le statut : OK, KO ou Réserve (écart mineur accepté).</t>
        </is>
      </c>
    </row>
    <row r="14">
      <c r="A14" s="3" t="inlineStr">
        <is>
          <t>3. Indiquer ses initiales et la date. En cas de KO, décrire l'écart dans le commentaire : le prestataire corrige, le scénario est rejoué.</t>
        </is>
      </c>
    </row>
    <row r="15">
      <c r="A15" s="3" t="inlineStr"/>
    </row>
    <row r="16">
      <c r="A16" s="4" t="inlineStr">
        <is>
          <t>Décision de mise en production</t>
        </is>
      </c>
    </row>
    <row r="17">
      <c r="A17" s="3" t="inlineStr">
        <is>
          <t>La mise en production se décide quand tous les scénarios sont OK ou en réserve acceptée par le comité de pilotage ; l'onglet Synthèse fait le compte.</t>
        </is>
      </c>
    </row>
    <row r="18">
      <c r="A18" s="3" t="inlineStr">
        <is>
          <t>Le procès-verbal de recette reprend la synthèse et la liste des réserves.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7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18" customWidth="1" min="3" max="3"/>
    <col width="24" customWidth="1" min="4" max="4"/>
    <col width="46" customWidth="1" min="5" max="5"/>
    <col width="20" customWidth="1" min="6" max="6"/>
    <col width="46" customWidth="1" min="7" max="7"/>
    <col width="32" customWidth="1" min="8" max="8"/>
    <col width="10" customWidth="1" min="9" max="9"/>
    <col width="12" customWidth="1" min="10" max="10"/>
    <col width="11" customWidth="1" min="11" max="11"/>
    <col width="30" customWidth="1" min="12" max="12"/>
  </cols>
  <sheetData>
    <row r="1">
      <c r="A1" s="5" t="inlineStr">
        <is>
          <t>N°</t>
        </is>
      </c>
      <c r="B1" s="5" t="inlineStr">
        <is>
          <t>Attente</t>
        </is>
      </c>
      <c r="C1" s="5" t="inlineStr">
        <is>
          <t>Profil</t>
        </is>
      </c>
      <c r="D1" s="5" t="inlineStr">
        <is>
          <t>Écran</t>
        </is>
      </c>
      <c r="E1" s="5" t="inlineStr">
        <is>
          <t>Scénario</t>
        </is>
      </c>
      <c r="F1" s="5" t="inlineStr">
        <is>
          <t>Données d'essai</t>
        </is>
      </c>
      <c r="G1" s="5" t="inlineStr">
        <is>
          <t>Résultat attendu</t>
        </is>
      </c>
      <c r="H1" s="5" t="inlineStr">
        <is>
          <t>Résultat obtenu</t>
        </is>
      </c>
      <c r="I1" s="5" t="inlineStr">
        <is>
          <t>Statut</t>
        </is>
      </c>
      <c r="J1" s="5" t="inlineStr">
        <is>
          <t>Testé par</t>
        </is>
      </c>
      <c r="K1" s="5" t="inlineStr">
        <is>
          <t>Date</t>
        </is>
      </c>
      <c r="L1" s="5" t="inlineStr">
        <is>
          <t>Commentaire</t>
        </is>
      </c>
    </row>
    <row r="2">
      <c r="A2" s="6" t="inlineStr">
        <is>
          <t>R01</t>
        </is>
      </c>
      <c r="B2" s="6" t="inlineStr">
        <is>
          <t>1</t>
        </is>
      </c>
      <c r="C2" s="6" t="inlineStr">
        <is>
          <t>Direction</t>
        </is>
      </c>
      <c r="D2" s="6" t="inlineStr">
        <is>
          <t>Finance &gt; Tableau de bord</t>
        </is>
      </c>
      <c r="E2" s="6" t="inlineStr">
        <is>
          <t>Noter le CA du mois ; faire saisir et valider une facture de vente par la finance ; rouvrir le tableau de bord.</t>
        </is>
      </c>
      <c r="F2" s="6" t="inlineStr">
        <is>
          <t>Facture de 10 000 000 GNF HT</t>
        </is>
      </c>
      <c r="G2" s="6" t="inlineStr">
        <is>
          <t>Le CA du mois augmente de 10 000 000 GNF ; l'encours client augmente du montant TTC.</t>
        </is>
      </c>
      <c r="H2" s="6" t="inlineStr"/>
      <c r="I2" s="6" t="inlineStr"/>
      <c r="J2" s="6" t="inlineStr"/>
      <c r="K2" s="6" t="inlineStr"/>
      <c r="L2" s="6" t="inlineStr"/>
    </row>
    <row r="3">
      <c r="A3" s="7" t="inlineStr">
        <is>
          <t>R02</t>
        </is>
      </c>
      <c r="B3" s="7" t="inlineStr">
        <is>
          <t>1</t>
        </is>
      </c>
      <c r="C3" s="7" t="inlineStr">
        <is>
          <t>Direction</t>
        </is>
      </c>
      <c r="D3" s="7" t="inlineStr">
        <is>
          <t>Finance &gt; Rapport mensuel</t>
        </is>
      </c>
      <c r="E3" s="7" t="inlineStr">
        <is>
          <t>Choisir le mois écoulé, imprimer le rapport.</t>
        </is>
      </c>
      <c r="F3" s="7" t="inlineStr">
        <is>
          <t>—</t>
        </is>
      </c>
      <c r="G3" s="7" t="inlineStr">
        <is>
          <t>Rapport complet : indicateurs, résultat du mois et cumulé comparés à N-1, activités, flux, trésorerie, transport, alertes.</t>
        </is>
      </c>
      <c r="H3" s="7" t="inlineStr"/>
      <c r="I3" s="7" t="inlineStr"/>
      <c r="J3" s="7" t="inlineStr"/>
      <c r="K3" s="7" t="inlineStr"/>
      <c r="L3" s="7" t="inlineStr"/>
    </row>
    <row r="4">
      <c r="A4" s="6" t="inlineStr">
        <is>
          <t>R03</t>
        </is>
      </c>
      <c r="B4" s="6" t="inlineStr">
        <is>
          <t>2</t>
        </is>
      </c>
      <c r="C4" s="6" t="inlineStr">
        <is>
          <t>Direction (compte ouvert aux deux sociétés)</t>
        </is>
      </c>
      <c r="D4" s="6" t="inlineStr">
        <is>
          <t>En-tête : sélecteur de société</t>
        </is>
      </c>
      <c r="E4" s="6" t="inlineStr">
        <is>
          <t>Passer d'EGUITRA GROUP SARLU à MB AxisPro, puis revenir.</t>
        </is>
      </c>
      <c r="F4" s="6" t="inlineStr">
        <is>
          <t>—</t>
        </is>
      </c>
      <c r="G4" s="6" t="inlineStr">
        <is>
          <t>L'écran se recharge ; seules les pièces de la société choisie apparaissent, jamais celles de l'autre.</t>
        </is>
      </c>
      <c r="H4" s="6" t="inlineStr"/>
      <c r="I4" s="6" t="inlineStr"/>
      <c r="J4" s="6" t="inlineStr"/>
      <c r="K4" s="6" t="inlineStr"/>
      <c r="L4" s="6" t="inlineStr"/>
    </row>
    <row r="5">
      <c r="A5" s="7" t="inlineStr">
        <is>
          <t>R04</t>
        </is>
      </c>
      <c r="B5" s="7" t="inlineStr">
        <is>
          <t>2</t>
        </is>
      </c>
      <c r="C5" s="7" t="inlineStr">
        <is>
          <t>Direction</t>
        </is>
      </c>
      <c r="D5" s="7" t="inlineStr">
        <is>
          <t>Tableau de bord : « Groupe consolidé »</t>
        </is>
      </c>
      <c r="E5" s="7" t="inlineStr">
        <is>
          <t>Comparer les indicateurs en vue Société et en vue Groupe.</t>
        </is>
      </c>
      <c r="F5" s="7" t="inlineStr">
        <is>
          <t>—</t>
        </is>
      </c>
      <c r="G5" s="7" t="inlineStr">
        <is>
          <t>Le groupe réunit les deux sociétés ; chaque société garde ses propres montants.</t>
        </is>
      </c>
      <c r="H5" s="7" t="inlineStr"/>
      <c r="I5" s="7" t="inlineStr"/>
      <c r="J5" s="7" t="inlineStr"/>
      <c r="K5" s="7" t="inlineStr"/>
      <c r="L5" s="7" t="inlineStr"/>
    </row>
    <row r="6">
      <c r="A6" s="6" t="inlineStr">
        <is>
          <t>R05</t>
        </is>
      </c>
      <c r="B6" s="6" t="inlineStr">
        <is>
          <t>2</t>
        </is>
      </c>
      <c r="C6" s="6" t="inlineStr">
        <is>
          <t>Administration</t>
        </is>
      </c>
      <c r="D6" s="6" t="inlineStr">
        <is>
          <t>Administration &gt; Utilisateurs</t>
        </is>
      </c>
      <c r="E6" s="6" t="inlineStr">
        <is>
          <t>Créer un utilisateur ouvert aux deux sociétés et un autre ouvert au cabinet seulement ; se connecter avec chacun.</t>
        </is>
      </c>
      <c r="F6" s="6" t="inlineStr">
        <is>
          <t>Profil finance</t>
        </is>
      </c>
      <c r="G6" s="6" t="inlineStr">
        <is>
          <t>Le premier voit le sélecteur et les deux sociétés ; le second ne voit que MB AxisPro.</t>
        </is>
      </c>
      <c r="H6" s="6" t="inlineStr"/>
      <c r="I6" s="6" t="inlineStr"/>
      <c r="J6" s="6" t="inlineStr"/>
      <c r="K6" s="6" t="inlineStr"/>
      <c r="L6" s="6" t="inlineStr"/>
    </row>
    <row r="7">
      <c r="A7" s="7" t="inlineStr">
        <is>
          <t>R06</t>
        </is>
      </c>
      <c r="B7" s="7" t="inlineStr">
        <is>
          <t>2</t>
        </is>
      </c>
      <c r="C7" s="7" t="inlineStr">
        <is>
          <t>Finance</t>
        </is>
      </c>
      <c r="D7" s="7" t="inlineStr">
        <is>
          <t>Activités et budget</t>
        </is>
      </c>
      <c r="E7" s="7" t="inlineStr">
        <is>
          <t>Afficher la marge par activité, chantier, ensemble routier et route.</t>
        </is>
      </c>
      <c r="F7" s="7" t="inlineStr">
        <is>
          <t>Données reprises</t>
        </is>
      </c>
      <c r="G7" s="7" t="inlineStr">
        <is>
          <t>Montants cohérents avec les écritures imputées.</t>
        </is>
      </c>
      <c r="H7" s="7" t="inlineStr"/>
      <c r="I7" s="7" t="inlineStr"/>
      <c r="J7" s="7" t="inlineStr"/>
      <c r="K7" s="7" t="inlineStr"/>
      <c r="L7" s="7" t="inlineStr"/>
    </row>
    <row r="8">
      <c r="A8" s="6" t="inlineStr">
        <is>
          <t>R07</t>
        </is>
      </c>
      <c r="B8" s="6" t="inlineStr">
        <is>
          <t>3</t>
        </is>
      </c>
      <c r="C8" s="6" t="inlineStr">
        <is>
          <t>Finance</t>
        </is>
      </c>
      <c r="D8" s="6" t="inlineStr">
        <is>
          <t>Balance et états &gt; Bilan</t>
        </is>
      </c>
      <c r="E8" s="6" t="inlineStr">
        <is>
          <t>Arrêté au dernier jour du mois écoulé.</t>
        </is>
      </c>
      <c r="F8" s="6" t="inlineStr">
        <is>
          <t>—</t>
        </is>
      </c>
      <c r="G8" s="6" t="inlineStr">
        <is>
          <t>Bilan équilibré (actif = passif) ; aucun compte « hors états ».</t>
        </is>
      </c>
      <c r="H8" s="6" t="inlineStr"/>
      <c r="I8" s="6" t="inlineStr"/>
      <c r="J8" s="6" t="inlineStr"/>
      <c r="K8" s="6" t="inlineStr"/>
      <c r="L8" s="6" t="inlineStr"/>
    </row>
    <row r="9">
      <c r="A9" s="7" t="inlineStr">
        <is>
          <t>R08</t>
        </is>
      </c>
      <c r="B9" s="7" t="inlineStr">
        <is>
          <t>3</t>
        </is>
      </c>
      <c r="C9" s="7" t="inlineStr">
        <is>
          <t>Finance</t>
        </is>
      </c>
      <c r="D9" s="7" t="inlineStr">
        <is>
          <t>Balance et états &gt; Compte de résultat</t>
        </is>
      </c>
      <c r="E9" s="7" t="inlineStr">
        <is>
          <t>Exercice en cours, comparaison à N-1.</t>
        </is>
      </c>
      <c r="F9" s="7" t="inlineStr">
        <is>
          <t>—</t>
        </is>
      </c>
      <c r="G9" s="7" t="inlineStr">
        <is>
          <t>Soldes intermédiaires (marge, valeur ajoutée, EBE, résultat) conformes à la balance.</t>
        </is>
      </c>
      <c r="H9" s="7" t="inlineStr"/>
      <c r="I9" s="7" t="inlineStr"/>
      <c r="J9" s="7" t="inlineStr"/>
      <c r="K9" s="7" t="inlineStr"/>
      <c r="L9" s="7" t="inlineStr"/>
    </row>
    <row r="10">
      <c r="A10" s="6" t="inlineStr">
        <is>
          <t>R09</t>
        </is>
      </c>
      <c r="B10" s="6" t="inlineStr">
        <is>
          <t>3</t>
        </is>
      </c>
      <c r="C10" s="6" t="inlineStr">
        <is>
          <t>Finance</t>
        </is>
      </c>
      <c r="D10" s="6" t="inlineStr">
        <is>
          <t>Balance et états &gt; Tableau des flux</t>
        </is>
      </c>
      <c r="E10" s="6" t="inlineStr">
        <is>
          <t>Exercice en cours.</t>
        </is>
      </c>
      <c r="F10" s="6" t="inlineStr">
        <is>
          <t>—</t>
        </is>
      </c>
      <c r="G10" s="6" t="inlineStr">
        <is>
          <t>Le tableau rejoint la trésorerie nette du bilan (écart nul).</t>
        </is>
      </c>
      <c r="H10" s="6" t="inlineStr"/>
      <c r="I10" s="6" t="inlineStr"/>
      <c r="J10" s="6" t="inlineStr"/>
      <c r="K10" s="6" t="inlineStr"/>
      <c r="L10" s="6" t="inlineStr"/>
    </row>
    <row r="11">
      <c r="A11" s="7" t="inlineStr">
        <is>
          <t>R10</t>
        </is>
      </c>
      <c r="B11" s="7" t="inlineStr">
        <is>
          <t>3</t>
        </is>
      </c>
      <c r="C11" s="7" t="inlineStr">
        <is>
          <t>Finance et expert-comptable</t>
        </is>
      </c>
      <c r="D11" s="7" t="inlineStr">
        <is>
          <t>Balance et états &gt; Balance</t>
        </is>
      </c>
      <c r="E11" s="7" t="inlineStr">
        <is>
          <t>Comparer la balance d'ouverture reprise à la balance de clôture de l'ancien système.</t>
        </is>
      </c>
      <c r="F11" s="7" t="inlineStr">
        <is>
          <t>Balance au 31/12/2025</t>
        </is>
      </c>
      <c r="G11" s="7" t="inlineStr">
        <is>
          <t>Soldes identiques compte par compte, pour chaque société.</t>
        </is>
      </c>
      <c r="H11" s="7" t="inlineStr"/>
      <c r="I11" s="7" t="inlineStr"/>
      <c r="J11" s="7" t="inlineStr"/>
      <c r="K11" s="7" t="inlineStr"/>
      <c r="L11" s="7" t="inlineStr"/>
    </row>
    <row r="12">
      <c r="A12" s="6" t="inlineStr">
        <is>
          <t>R11</t>
        </is>
      </c>
      <c r="B12" s="6" t="inlineStr">
        <is>
          <t>3</t>
        </is>
      </c>
      <c r="C12" s="6" t="inlineStr">
        <is>
          <t>Finance</t>
        </is>
      </c>
      <c r="D12" s="6" t="inlineStr">
        <is>
          <t>Reprise de l'exercice 2026</t>
        </is>
      </c>
      <c r="E12" s="6" t="inlineStr">
        <is>
          <t>Contrôler les écritures et les rotations reprises.</t>
        </is>
      </c>
      <c r="F12" s="6" t="inlineStr">
        <is>
          <t>Classeur 2026</t>
        </is>
      </c>
      <c r="G12" s="6" t="inlineStr">
        <is>
          <t>Balances mensuelles, nombre de rotations et chiffre d'affaires conformes au classeur.</t>
        </is>
      </c>
      <c r="H12" s="6" t="inlineStr"/>
      <c r="I12" s="6" t="inlineStr"/>
      <c r="J12" s="6" t="inlineStr"/>
      <c r="K12" s="6" t="inlineStr"/>
      <c r="L12" s="6" t="inlineStr"/>
    </row>
    <row r="13">
      <c r="A13" s="7" t="inlineStr">
        <is>
          <t>R12</t>
        </is>
      </c>
      <c r="B13" s="7" t="inlineStr">
        <is>
          <t>4</t>
        </is>
      </c>
      <c r="C13" s="7" t="inlineStr">
        <is>
          <t>Exploitation</t>
        </is>
      </c>
      <c r="D13" s="7" t="inlineStr">
        <is>
          <t>Transport</t>
        </is>
      </c>
      <c r="E13" s="7" t="inlineStr">
        <is>
          <t>Valider puis facturer une rotation.</t>
        </is>
      </c>
      <c r="F13" s="7" t="inlineStr">
        <is>
          <t>—</t>
        </is>
      </c>
      <c r="G13" s="7" t="inlineStr">
        <is>
          <t>La facture porte l'activité transport, l'ensemble routier et la route ; la marge apparaît par ensemble et par route.</t>
        </is>
      </c>
      <c r="H13" s="7" t="inlineStr"/>
      <c r="I13" s="7" t="inlineStr"/>
      <c r="J13" s="7" t="inlineStr"/>
      <c r="K13" s="7" t="inlineStr"/>
      <c r="L13" s="7" t="inlineStr"/>
    </row>
    <row r="14">
      <c r="A14" s="6" t="inlineStr">
        <is>
          <t>R13</t>
        </is>
      </c>
      <c r="B14" s="6" t="inlineStr">
        <is>
          <t>4</t>
        </is>
      </c>
      <c r="C14" s="6" t="inlineStr">
        <is>
          <t>Finance</t>
        </is>
      </c>
      <c r="D14" s="6" t="inlineStr">
        <is>
          <t>Achats et dépenses</t>
        </is>
      </c>
      <c r="E14" s="6" t="inlineStr">
        <is>
          <t>Saisir une dépense de carburant imputée à un ensemble routier.</t>
        </is>
      </c>
      <c r="F14" s="6" t="inlineStr">
        <is>
          <t>—</t>
        </is>
      </c>
      <c r="G14" s="6" t="inlineStr">
        <is>
          <t>Le coût apparaît dans la rentabilité de l'ensemble.</t>
        </is>
      </c>
      <c r="H14" s="6" t="inlineStr"/>
      <c r="I14" s="6" t="inlineStr"/>
      <c r="J14" s="6" t="inlineStr"/>
      <c r="K14" s="6" t="inlineStr"/>
      <c r="L14" s="6" t="inlineStr"/>
    </row>
    <row r="15">
      <c r="A15" s="7" t="inlineStr">
        <is>
          <t>R14</t>
        </is>
      </c>
      <c r="B15" s="7" t="inlineStr">
        <is>
          <t>5</t>
        </is>
      </c>
      <c r="C15" s="7" t="inlineStr">
        <is>
          <t>Finance</t>
        </is>
      </c>
      <c r="D15" s="7" t="inlineStr">
        <is>
          <t>Trésorerie</t>
        </is>
      </c>
      <c r="E15" s="7" t="inlineStr">
        <is>
          <t>Importer un relevé bancaire réel (CSV, XLSX ou camt.053 XML) ; réimporter le même fichier.</t>
        </is>
      </c>
      <c r="F15" s="7" t="inlineStr">
        <is>
          <t>Relevé d'un mois</t>
        </is>
      </c>
      <c r="G15" s="7" t="inlineStr">
        <is>
          <t>Lignes importées, soldes initial et final lus et contrôlés (écart refusé sauf confirmation), doublons ignorés à la réimportation.</t>
        </is>
      </c>
      <c r="H15" s="7" t="inlineStr"/>
      <c r="I15" s="7" t="inlineStr"/>
      <c r="J15" s="7" t="inlineStr"/>
      <c r="K15" s="7" t="inlineStr"/>
      <c r="L15" s="7" t="inlineStr"/>
    </row>
    <row r="16">
      <c r="A16" s="6" t="inlineStr">
        <is>
          <t>R15</t>
        </is>
      </c>
      <c r="B16" s="6" t="inlineStr">
        <is>
          <t>5</t>
        </is>
      </c>
      <c r="C16" s="6" t="inlineStr">
        <is>
          <t>Finance</t>
        </is>
      </c>
      <c r="D16" s="6" t="inlineStr">
        <is>
          <t>Trésorerie &gt; Rapprochement</t>
        </is>
      </c>
      <c r="E16" s="6" t="inlineStr">
        <is>
          <t>Rapprocher les lignes avec les factures et règlements proposés.</t>
        </is>
      </c>
      <c r="F16" s="6" t="inlineStr">
        <is>
          <t>—</t>
        </is>
      </c>
      <c r="G16" s="6" t="inlineStr">
        <is>
          <t>Lignes rapprochées, factures soldées, écart nul.</t>
        </is>
      </c>
      <c r="H16" s="6" t="inlineStr"/>
      <c r="I16" s="6" t="inlineStr"/>
      <c r="J16" s="6" t="inlineStr"/>
      <c r="K16" s="6" t="inlineStr"/>
      <c r="L16" s="6" t="inlineStr"/>
    </row>
    <row r="17">
      <c r="A17" s="7" t="inlineStr">
        <is>
          <t>R16</t>
        </is>
      </c>
      <c r="B17" s="7" t="inlineStr">
        <is>
          <t>5</t>
        </is>
      </c>
      <c r="C17" s="7" t="inlineStr">
        <is>
          <t>Finance</t>
        </is>
      </c>
      <c r="D17" s="7" t="inlineStr">
        <is>
          <t>Trésorerie &gt; Virement interne</t>
        </is>
      </c>
      <c r="E17" s="7" t="inlineStr">
        <is>
          <t>Virer entre deux comptes bancaires.</t>
        </is>
      </c>
      <c r="F17" s="7" t="inlineStr">
        <is>
          <t>5 000 000 GNF</t>
        </is>
      </c>
      <c r="G17" s="7" t="inlineStr">
        <is>
          <t>Passage par le compte 585, soldé après les deux mouvements.</t>
        </is>
      </c>
      <c r="H17" s="7" t="inlineStr"/>
      <c r="I17" s="7" t="inlineStr"/>
      <c r="J17" s="7" t="inlineStr"/>
      <c r="K17" s="7" t="inlineStr"/>
      <c r="L17" s="7" t="inlineStr"/>
    </row>
    <row r="18">
      <c r="A18" s="6" t="inlineStr">
        <is>
          <t>R17</t>
        </is>
      </c>
      <c r="B18" s="6" t="inlineStr">
        <is>
          <t>6</t>
        </is>
      </c>
      <c r="C18" s="6" t="inlineStr">
        <is>
          <t>Finance</t>
        </is>
      </c>
      <c r="D18" s="6" t="inlineStr">
        <is>
          <t>Immobilisations</t>
        </is>
      </c>
      <c r="E18" s="6" t="inlineStr">
        <is>
          <t>Créer une catégorie et une immobilisation, la mettre en service.</t>
        </is>
      </c>
      <c r="F18" s="6" t="inlineStr">
        <is>
          <t>Camion, 5 ans</t>
        </is>
      </c>
      <c r="G18" s="6" t="inlineStr">
        <is>
          <t>Plan d'amortissement mensuel calculé.</t>
        </is>
      </c>
      <c r="H18" s="6" t="inlineStr"/>
      <c r="I18" s="6" t="inlineStr"/>
      <c r="J18" s="6" t="inlineStr"/>
      <c r="K18" s="6" t="inlineStr"/>
      <c r="L18" s="6" t="inlineStr"/>
    </row>
    <row r="19">
      <c r="A19" s="7" t="inlineStr">
        <is>
          <t>R18</t>
        </is>
      </c>
      <c r="B19" s="7" t="inlineStr">
        <is>
          <t>6</t>
        </is>
      </c>
      <c r="C19" s="7" t="inlineStr">
        <is>
          <t>Finance</t>
        </is>
      </c>
      <c r="D19" s="7" t="inlineStr">
        <is>
          <t>Immobilisations</t>
        </is>
      </c>
      <c r="E19" s="7" t="inlineStr">
        <is>
          <t>Le lendemain, consulter le plan.</t>
        </is>
      </c>
      <c r="F19" s="7" t="inlineStr">
        <is>
          <t>—</t>
        </is>
      </c>
      <c r="G19" s="7" t="inlineStr">
        <is>
          <t>Dotations échues comptabilisées automatiquement.</t>
        </is>
      </c>
      <c r="H19" s="7" t="inlineStr"/>
      <c r="I19" s="7" t="inlineStr"/>
      <c r="J19" s="7" t="inlineStr"/>
      <c r="K19" s="7" t="inlineStr"/>
      <c r="L19" s="7" t="inlineStr"/>
    </row>
    <row r="20">
      <c r="A20" s="6" t="inlineStr">
        <is>
          <t>R19</t>
        </is>
      </c>
      <c r="B20" s="6" t="inlineStr">
        <is>
          <t>6</t>
        </is>
      </c>
      <c r="C20" s="6" t="inlineStr">
        <is>
          <t>Finance</t>
        </is>
      </c>
      <c r="D20" s="6" t="inlineStr">
        <is>
          <t>Immobilisations &gt; Sortir de l'actif</t>
        </is>
      </c>
      <c r="E20" s="6" t="inlineStr">
        <is>
          <t>Céder une immobilisation.</t>
        </is>
      </c>
      <c r="F20" s="6" t="inlineStr">
        <is>
          <t>Prix de cession</t>
        </is>
      </c>
      <c r="G20" s="6" t="inlineStr">
        <is>
          <t>Écritures de sortie (28/2x, 81x) et de cession (485/82x) ; immobilisation sortie du registre.</t>
        </is>
      </c>
      <c r="H20" s="6" t="inlineStr"/>
      <c r="I20" s="6" t="inlineStr"/>
      <c r="J20" s="6" t="inlineStr"/>
      <c r="K20" s="6" t="inlineStr"/>
      <c r="L20" s="6" t="inlineStr"/>
    </row>
    <row r="21">
      <c r="A21" s="7" t="inlineStr">
        <is>
          <t>R20</t>
        </is>
      </c>
      <c r="B21" s="7" t="inlineStr">
        <is>
          <t>7</t>
        </is>
      </c>
      <c r="C21" s="7" t="inlineStr">
        <is>
          <t>Finance</t>
        </is>
      </c>
      <c r="D21" s="7" t="inlineStr">
        <is>
          <t>Activités et budget &gt; Budget</t>
        </is>
      </c>
      <c r="E21" s="7" t="inlineStr">
        <is>
          <t>Saisir un budget mensuel par compte ; comparer au réalisé.</t>
        </is>
      </c>
      <c r="F21" s="7" t="inlineStr">
        <is>
          <t>—</t>
        </is>
      </c>
      <c r="G21" s="7" t="inlineStr">
        <is>
          <t>Écarts par compte et par mois ; alerte au-delà du seuil de dépassement.</t>
        </is>
      </c>
      <c r="H21" s="7" t="inlineStr"/>
      <c r="I21" s="7" t="inlineStr"/>
      <c r="J21" s="7" t="inlineStr"/>
      <c r="K21" s="7" t="inlineStr"/>
      <c r="L21" s="7" t="inlineStr"/>
    </row>
    <row r="22">
      <c r="A22" s="6" t="inlineStr">
        <is>
          <t>R21</t>
        </is>
      </c>
      <c r="B22" s="6" t="inlineStr">
        <is>
          <t>8</t>
        </is>
      </c>
      <c r="C22" s="6" t="inlineStr">
        <is>
          <t>Finance</t>
        </is>
      </c>
      <c r="D22" s="6" t="inlineStr">
        <is>
          <t>Ventes</t>
        </is>
      </c>
      <c r="E22" s="6" t="inlineStr">
        <is>
          <t>Créer, valider et imprimer une facture ; créer un avoir partiel.</t>
        </is>
      </c>
      <c r="F22" s="6" t="inlineStr">
        <is>
          <t>—</t>
        </is>
      </c>
      <c r="G22" s="6" t="inlineStr">
        <is>
          <t>Numérotation propre à la société ; PDF correct ; reste dû diminué de l'avoir.</t>
        </is>
      </c>
      <c r="H22" s="6" t="inlineStr"/>
      <c r="I22" s="6" t="inlineStr"/>
      <c r="J22" s="6" t="inlineStr"/>
      <c r="K22" s="6" t="inlineStr"/>
      <c r="L22" s="6" t="inlineStr"/>
    </row>
    <row r="23">
      <c r="A23" s="7" t="inlineStr">
        <is>
          <t>R22</t>
        </is>
      </c>
      <c r="B23" s="7" t="inlineStr">
        <is>
          <t>8</t>
        </is>
      </c>
      <c r="C23" s="7" t="inlineStr">
        <is>
          <t>Finance</t>
        </is>
      </c>
      <c r="D23" s="7" t="inlineStr">
        <is>
          <t>Achats et dépenses</t>
        </is>
      </c>
      <c r="E23" s="7" t="inlineStr">
        <is>
          <t>Saisir une facture fournisseur avec sa pièce jointe numérisée ; la soumettre.</t>
        </is>
      </c>
      <c r="F23" s="7" t="inlineStr">
        <is>
          <t>Montant supérieur au seuil</t>
        </is>
      </c>
      <c r="G23" s="7" t="inlineStr">
        <is>
          <t>La pièce part au circuit d'approbation (voir R26).</t>
        </is>
      </c>
      <c r="H23" s="7" t="inlineStr"/>
      <c r="I23" s="7" t="inlineStr"/>
      <c r="J23" s="7" t="inlineStr"/>
      <c r="K23" s="7" t="inlineStr"/>
      <c r="L23" s="7" t="inlineStr"/>
    </row>
    <row r="24">
      <c r="A24" s="6" t="inlineStr">
        <is>
          <t>R23</t>
        </is>
      </c>
      <c r="B24" s="6" t="inlineStr">
        <is>
          <t>8</t>
        </is>
      </c>
      <c r="C24" s="6" t="inlineStr">
        <is>
          <t>Finance</t>
        </is>
      </c>
      <c r="D24" s="6" t="inlineStr">
        <is>
          <t>Relances clients</t>
        </is>
      </c>
      <c r="E24" s="6" t="inlineStr">
        <is>
          <t>Calculer les relances ; ouvrir une mise en demeure ; l'imprimer.</t>
        </is>
      </c>
      <c r="F24" s="6" t="inlineStr">
        <is>
          <t>Facture échue depuis plus de 30 jours</t>
        </is>
      </c>
      <c r="G24" s="6" t="inlineStr">
        <is>
          <t>Niveau correct, lettre complète ; la mise en demeure n'est jamais envoyée sans décision.</t>
        </is>
      </c>
      <c r="H24" s="6" t="inlineStr"/>
      <c r="I24" s="6" t="inlineStr"/>
      <c r="J24" s="6" t="inlineStr"/>
      <c r="K24" s="6" t="inlineStr"/>
      <c r="L24" s="6" t="inlineStr"/>
    </row>
    <row r="25">
      <c r="A25" s="7" t="inlineStr">
        <is>
          <t>R24</t>
        </is>
      </c>
      <c r="B25" s="7" t="inlineStr">
        <is>
          <t>9</t>
        </is>
      </c>
      <c r="C25" s="7" t="inlineStr">
        <is>
          <t>Finance et expert-comptable</t>
        </is>
      </c>
      <c r="D25" s="7" t="inlineStr">
        <is>
          <t>Fiscalité</t>
        </is>
      </c>
      <c r="E25" s="7" t="inlineStr">
        <is>
          <t>Afficher la TVA du mois.</t>
        </is>
      </c>
      <c r="F25" s="7" t="inlineStr">
        <is>
          <t>—</t>
        </is>
      </c>
      <c r="G25" s="7" t="inlineStr">
        <is>
          <t>TVA collectée et déductible égales aux comptes 443 et 445 ; modèle de déclaration validé.</t>
        </is>
      </c>
      <c r="H25" s="7" t="inlineStr"/>
      <c r="I25" s="7" t="inlineStr"/>
      <c r="J25" s="7" t="inlineStr"/>
      <c r="K25" s="7" t="inlineStr"/>
      <c r="L25" s="7" t="inlineStr"/>
    </row>
    <row r="26">
      <c r="A26" s="6" t="inlineStr">
        <is>
          <t>R25</t>
        </is>
      </c>
      <c r="B26" s="6" t="inlineStr">
        <is>
          <t>9</t>
        </is>
      </c>
      <c r="C26" s="6" t="inlineStr">
        <is>
          <t>Finance</t>
        </is>
      </c>
      <c r="D26" s="6" t="inlineStr">
        <is>
          <t>Fiscalité &gt; Export d'audit</t>
        </is>
      </c>
      <c r="E26" s="6" t="inlineStr">
        <is>
          <t>Exporter les écritures de l'exercice.</t>
        </is>
      </c>
      <c r="F26" s="6" t="inlineStr">
        <is>
          <t>—</t>
        </is>
      </c>
      <c r="G26" s="6" t="inlineStr">
        <is>
          <t>Fichier complet, ouvert sans erreur par l'expert-comptable.</t>
        </is>
      </c>
      <c r="H26" s="6" t="inlineStr"/>
      <c r="I26" s="6" t="inlineStr"/>
      <c r="J26" s="6" t="inlineStr"/>
      <c r="K26" s="6" t="inlineStr"/>
      <c r="L26" s="6" t="inlineStr"/>
    </row>
    <row r="27">
      <c r="A27" s="7" t="inlineStr">
        <is>
          <t>R26</t>
        </is>
      </c>
      <c r="B27" s="7" t="inlineStr">
        <is>
          <t>10</t>
        </is>
      </c>
      <c r="C27" s="7" t="inlineStr">
        <is>
          <t>Finance puis direction</t>
        </is>
      </c>
      <c r="D27" s="7" t="inlineStr">
        <is>
          <t>À valider</t>
        </is>
      </c>
      <c r="E27" s="7" t="inlineStr">
        <is>
          <t>Soumettre une pièce d'achat au-delà de 50 M GNF ; approuver par la finance, puis par la direction.</t>
        </is>
      </c>
      <c r="F27" s="7" t="inlineStr">
        <is>
          <t>—</t>
        </is>
      </c>
      <c r="G27" s="7" t="inlineStr">
        <is>
          <t>Pièce comptabilisée seulement après la dernière approbation ; décisions journalisées.</t>
        </is>
      </c>
      <c r="H27" s="7" t="inlineStr"/>
      <c r="I27" s="7" t="inlineStr"/>
      <c r="J27" s="7" t="inlineStr"/>
      <c r="K27" s="7" t="inlineStr"/>
      <c r="L27" s="7" t="inlineStr"/>
    </row>
    <row r="28">
      <c r="A28" s="6" t="inlineStr">
        <is>
          <t>R27</t>
        </is>
      </c>
      <c r="B28" s="6" t="inlineStr">
        <is>
          <t>10</t>
        </is>
      </c>
      <c r="C28" s="6" t="inlineStr">
        <is>
          <t>Direction</t>
        </is>
      </c>
      <c r="D28" s="6" t="inlineStr">
        <is>
          <t>À valider</t>
        </is>
      </c>
      <c r="E28" s="6" t="inlineStr">
        <is>
          <t>Refuser une demande.</t>
        </is>
      </c>
      <c r="F28" s="6" t="inlineStr">
        <is>
          <t>—</t>
        </is>
      </c>
      <c r="G28" s="6" t="inlineStr">
        <is>
          <t>Motif obligatoire ; la pièce revient au demandeur sans être comptabilisée.</t>
        </is>
      </c>
      <c r="H28" s="6" t="inlineStr"/>
      <c r="I28" s="6" t="inlineStr"/>
      <c r="J28" s="6" t="inlineStr"/>
      <c r="K28" s="6" t="inlineStr"/>
      <c r="L28" s="6" t="inlineStr"/>
    </row>
    <row r="29">
      <c r="A29" s="7" t="inlineStr">
        <is>
          <t>R28</t>
        </is>
      </c>
      <c r="B29" s="7" t="inlineStr">
        <is>
          <t>10</t>
        </is>
      </c>
      <c r="C29" s="7" t="inlineStr">
        <is>
          <t>Chantiers</t>
        </is>
      </c>
      <c r="D29" s="7" t="inlineStr">
        <is>
          <t>À valider</t>
        </is>
      </c>
      <c r="E29" s="7" t="inlineStr">
        <is>
          <t>Consulter la liste des demandes.</t>
        </is>
      </c>
      <c r="F29" s="7" t="inlineStr">
        <is>
          <t>—</t>
        </is>
      </c>
      <c r="G29" s="7" t="inlineStr">
        <is>
          <t>Seules les demandes qui concernent ce profil apparaissent.</t>
        </is>
      </c>
      <c r="H29" s="7" t="inlineStr"/>
      <c r="I29" s="7" t="inlineStr"/>
      <c r="J29" s="7" t="inlineStr"/>
      <c r="K29" s="7" t="inlineStr"/>
      <c r="L29" s="7" t="inlineStr"/>
    </row>
    <row r="30">
      <c r="A30" s="6" t="inlineStr">
        <is>
          <t>R29</t>
        </is>
      </c>
      <c r="B30" s="6" t="inlineStr">
        <is>
          <t>11</t>
        </is>
      </c>
      <c r="C30" s="6" t="inlineStr">
        <is>
          <t>Exploitation</t>
        </is>
      </c>
      <c r="D30" s="6" t="inlineStr">
        <is>
          <t>Application Rotations (téléphone)</t>
        </is>
      </c>
      <c r="E30" s="6" t="inlineStr">
        <is>
          <t>Installer l'application sur l'écran d'accueil ; se connecter.</t>
        </is>
      </c>
      <c r="F30" s="6" t="inlineStr">
        <is>
          <t>Téléphone Android</t>
        </is>
      </c>
      <c r="G30" s="6" t="inlineStr">
        <is>
          <t>Icône Rotations ; connexion avec double authentification.</t>
        </is>
      </c>
      <c r="H30" s="6" t="inlineStr"/>
      <c r="I30" s="6" t="inlineStr"/>
      <c r="J30" s="6" t="inlineStr"/>
      <c r="K30" s="6" t="inlineStr"/>
      <c r="L30" s="6" t="inlineStr"/>
    </row>
    <row r="31">
      <c r="A31" s="7" t="inlineStr">
        <is>
          <t>R30</t>
        </is>
      </c>
      <c r="B31" s="7" t="inlineStr">
        <is>
          <t>11</t>
        </is>
      </c>
      <c r="C31" s="7" t="inlineStr">
        <is>
          <t>Exploitation</t>
        </is>
      </c>
      <c r="D31" s="7" t="inlineStr">
        <is>
          <t>Application Rotations, mode avion</t>
        </is>
      </c>
      <c r="E31" s="7" t="inlineStr">
        <is>
          <t>Saisir deux rotations sans réseau, puis réactiver le réseau.</t>
        </is>
      </c>
      <c r="F31" s="7" t="inlineStr">
        <is>
          <t>—</t>
        </is>
      </c>
      <c r="G31" s="7" t="inlineStr">
        <is>
          <t>Rotations gardées « À envoyer », transmises au retour du réseau, sans doublon.</t>
        </is>
      </c>
      <c r="H31" s="7" t="inlineStr"/>
      <c r="I31" s="7" t="inlineStr"/>
      <c r="J31" s="7" t="inlineStr"/>
      <c r="K31" s="7" t="inlineStr"/>
      <c r="L31" s="7" t="inlineStr"/>
    </row>
    <row r="32">
      <c r="A32" s="6" t="inlineStr">
        <is>
          <t>R31</t>
        </is>
      </c>
      <c r="B32" s="6" t="inlineStr">
        <is>
          <t>11</t>
        </is>
      </c>
      <c r="C32" s="6" t="inlineStr">
        <is>
          <t>Exploitation</t>
        </is>
      </c>
      <c r="D32" s="6" t="inlineStr">
        <is>
          <t>Transport</t>
        </is>
      </c>
      <c r="E32" s="6" t="inlineStr">
        <is>
          <t>Valider les rotations reçues ; facturer un client.</t>
        </is>
      </c>
      <c r="F32" s="6" t="inlineStr">
        <is>
          <t>—</t>
        </is>
      </c>
      <c r="G32" s="6" t="inlineStr">
        <is>
          <t>Une facture par client, une ligne par rotation ; tarif du client appliqué.</t>
        </is>
      </c>
      <c r="H32" s="6" t="inlineStr"/>
      <c r="I32" s="6" t="inlineStr"/>
      <c r="J32" s="6" t="inlineStr"/>
      <c r="K32" s="6" t="inlineStr"/>
      <c r="L32" s="6" t="inlineStr"/>
    </row>
    <row r="33">
      <c r="A33" s="7" t="inlineStr">
        <is>
          <t>R32</t>
        </is>
      </c>
      <c r="B33" s="7" t="inlineStr">
        <is>
          <t>11</t>
        </is>
      </c>
      <c r="C33" s="7" t="inlineStr">
        <is>
          <t>Direction</t>
        </is>
      </c>
      <c r="D33" s="7" t="inlineStr">
        <is>
          <t>Transport &gt; Rentabilité</t>
        </is>
      </c>
      <c r="E33" s="7" t="inlineStr">
        <is>
          <t>Marge par ensemble routier, par route et par mois.</t>
        </is>
      </c>
      <c r="F33" s="7" t="inlineStr">
        <is>
          <t>—</t>
        </is>
      </c>
      <c r="G33" s="7" t="inlineStr">
        <is>
          <t>Marges cohérentes ; alerte si la marge passe sous le seuil.</t>
        </is>
      </c>
      <c r="H33" s="7" t="inlineStr"/>
      <c r="I33" s="7" t="inlineStr"/>
      <c r="J33" s="7" t="inlineStr"/>
      <c r="K33" s="7" t="inlineStr"/>
      <c r="L33" s="7" t="inlineStr"/>
    </row>
    <row r="34">
      <c r="A34" s="6" t="inlineStr">
        <is>
          <t>R33</t>
        </is>
      </c>
      <c r="B34" s="6" t="inlineStr">
        <is>
          <t>12</t>
        </is>
      </c>
      <c r="C34" s="6" t="inlineStr">
        <is>
          <t>Chantiers</t>
        </is>
      </c>
      <c r="D34" s="6" t="inlineStr">
        <is>
          <t>Chantiers</t>
        </is>
      </c>
      <c r="E34" s="6" t="inlineStr">
        <is>
          <t>Créer un chantier ; saisir une situation en pourcentage ; la facturer.</t>
        </is>
      </c>
      <c r="F34" s="6" t="inlineStr">
        <is>
          <t>Marché, retenue de 5 %</t>
        </is>
      </c>
      <c r="G34" s="6" t="inlineStr">
        <is>
          <t>Facture de la période ; retenue portée en 4117.</t>
        </is>
      </c>
      <c r="H34" s="6" t="inlineStr"/>
      <c r="I34" s="6" t="inlineStr"/>
      <c r="J34" s="6" t="inlineStr"/>
      <c r="K34" s="6" t="inlineStr"/>
      <c r="L34" s="6" t="inlineStr"/>
    </row>
    <row r="35">
      <c r="A35" s="7" t="inlineStr">
        <is>
          <t>R34</t>
        </is>
      </c>
      <c r="B35" s="7" t="inlineStr">
        <is>
          <t>12</t>
        </is>
      </c>
      <c r="C35" s="7" t="inlineStr">
        <is>
          <t>Chantiers et finance</t>
        </is>
      </c>
      <c r="D35" s="7" t="inlineStr">
        <is>
          <t>Chantiers</t>
        </is>
      </c>
      <c r="E35" s="7" t="inlineStr">
        <is>
          <t>Libérer les retenues à la réception.</t>
        </is>
      </c>
      <c r="F35" s="7" t="inlineStr">
        <is>
          <t>—</t>
        </is>
      </c>
      <c r="G35" s="7" t="inlineStr">
        <is>
          <t>Retenues redevenues exigibles du client.</t>
        </is>
      </c>
      <c r="H35" s="7" t="inlineStr"/>
      <c r="I35" s="7" t="inlineStr"/>
      <c r="J35" s="7" t="inlineStr"/>
      <c r="K35" s="7" t="inlineStr"/>
      <c r="L35" s="7" t="inlineStr"/>
    </row>
    <row r="36">
      <c r="A36" s="6" t="inlineStr">
        <is>
          <t>R35</t>
        </is>
      </c>
      <c r="B36" s="6" t="inlineStr">
        <is>
          <t>13</t>
        </is>
      </c>
      <c r="C36" s="6" t="inlineStr">
        <is>
          <t>Immobilier</t>
        </is>
      </c>
      <c r="D36" s="6" t="inlineStr">
        <is>
          <t>Immobilier</t>
        </is>
      </c>
      <c r="E36" s="6" t="inlineStr">
        <is>
          <t>Créer un bien et un bail ; activer le bail ; revenir le lendemain.</t>
        </is>
      </c>
      <c r="F36" s="6" t="inlineStr">
        <is>
          <t>Loyer mensuel, prise d'effet passée</t>
        </is>
      </c>
      <c r="G36" s="6" t="inlineStr">
        <is>
          <t>Chaque nuit, loyers échus depuis la prise d'effet facturés et validés sans intervention (une facture par échéance, datée de l'échéance).</t>
        </is>
      </c>
      <c r="H36" s="6" t="inlineStr"/>
      <c r="I36" s="6" t="inlineStr"/>
      <c r="J36" s="6" t="inlineStr"/>
      <c r="K36" s="6" t="inlineStr"/>
      <c r="L36" s="6" t="inlineStr"/>
    </row>
    <row r="37">
      <c r="A37" s="7" t="inlineStr">
        <is>
          <t>R36</t>
        </is>
      </c>
      <c r="B37" s="7" t="inlineStr">
        <is>
          <t>13</t>
        </is>
      </c>
      <c r="C37" s="7" t="inlineStr">
        <is>
          <t>Immobilier</t>
        </is>
      </c>
      <c r="D37" s="7" t="inlineStr">
        <is>
          <t>Immobilier &gt; Impayés et quittances</t>
        </is>
      </c>
      <c r="E37" s="7" t="inlineStr">
        <is>
          <t>Encaisser un loyer ; imprimer la quittance ; consulter les impayés.</t>
        </is>
      </c>
      <c r="F37" s="7" t="inlineStr">
        <is>
          <t>—</t>
        </is>
      </c>
      <c r="G37" s="7" t="inlineStr">
        <is>
          <t>Quittance délivrée seulement pour un loyer réglé ; impayés à jour.</t>
        </is>
      </c>
      <c r="H37" s="7" t="inlineStr"/>
      <c r="I37" s="7" t="inlineStr"/>
      <c r="J37" s="7" t="inlineStr"/>
      <c r="K37" s="7" t="inlineStr"/>
      <c r="L37" s="7" t="inlineStr"/>
    </row>
    <row r="38">
      <c r="A38" s="6" t="inlineStr">
        <is>
          <t>R37</t>
        </is>
      </c>
      <c r="B38" s="6" t="inlineStr">
        <is>
          <t>14</t>
        </is>
      </c>
      <c r="C38" s="6" t="inlineStr">
        <is>
          <t>Administration</t>
        </is>
      </c>
      <c r="D38" s="6" t="inlineStr">
        <is>
          <t>Journal d'audit</t>
        </is>
      </c>
      <c r="E38" s="6" t="inlineStr">
        <is>
          <t>Modifier une fiche client, puis consulter le journal.</t>
        </is>
      </c>
      <c r="F38" s="6" t="inlineStr">
        <is>
          <t>—</t>
        </is>
      </c>
      <c r="G38" s="6" t="inlineStr">
        <is>
          <t>Utilisateur, date, valeurs avant et après.</t>
        </is>
      </c>
      <c r="H38" s="6" t="inlineStr"/>
      <c r="I38" s="6" t="inlineStr"/>
      <c r="J38" s="6" t="inlineStr"/>
      <c r="K38" s="6" t="inlineStr"/>
      <c r="L38" s="6" t="inlineStr"/>
    </row>
    <row r="39">
      <c r="A39" s="7" t="inlineStr">
        <is>
          <t>R38</t>
        </is>
      </c>
      <c r="B39" s="7" t="inlineStr">
        <is>
          <t>14</t>
        </is>
      </c>
      <c r="C39" s="7" t="inlineStr">
        <is>
          <t>Finance</t>
        </is>
      </c>
      <c r="D39" s="7" t="inlineStr">
        <is>
          <t>Clôtures et contrôles</t>
        </is>
      </c>
      <c r="E39" s="7" t="inlineStr">
        <is>
          <t>Clôturer un mois ; tenter une saisie dans le mois clôturé ; rouvrir.</t>
        </is>
      </c>
      <c r="F39" s="7" t="inlineStr">
        <is>
          <t>—</t>
        </is>
      </c>
      <c r="G39" s="7" t="inlineStr">
        <is>
          <t>Contrôles exécutés ; saisie refusée dans la période close ; réouverture tracée au registre.</t>
        </is>
      </c>
      <c r="H39" s="7" t="inlineStr"/>
      <c r="I39" s="7" t="inlineStr"/>
      <c r="J39" s="7" t="inlineStr"/>
      <c r="K39" s="7" t="inlineStr"/>
      <c r="L39" s="7" t="inlineStr"/>
    </row>
    <row r="40">
      <c r="A40" s="6" t="inlineStr">
        <is>
          <t>R39</t>
        </is>
      </c>
      <c r="B40" s="6" t="inlineStr">
        <is>
          <t>15</t>
        </is>
      </c>
      <c r="C40" s="6" t="inlineStr">
        <is>
          <t>Tout utilisateur</t>
        </is>
      </c>
      <c r="D40" s="6" t="inlineStr">
        <is>
          <t>Connexion</t>
        </is>
      </c>
      <c r="E40" s="6" t="inlineStr">
        <is>
          <t>Première connexion avec le mot de passe provisoire.</t>
        </is>
      </c>
      <c r="F40" s="6" t="inlineStr">
        <is>
          <t>—</t>
        </is>
      </c>
      <c r="G40" s="6" t="inlineStr">
        <is>
          <t>Activation de la double authentification puis choix du mot de passe, obligatoires avant tout accès.</t>
        </is>
      </c>
      <c r="H40" s="6" t="inlineStr"/>
      <c r="I40" s="6" t="inlineStr"/>
      <c r="J40" s="6" t="inlineStr"/>
      <c r="K40" s="6" t="inlineStr"/>
      <c r="L40" s="6" t="inlineStr"/>
    </row>
    <row r="41">
      <c r="A41" s="7" t="inlineStr">
        <is>
          <t>R40</t>
        </is>
      </c>
      <c r="B41" s="7" t="inlineStr">
        <is>
          <t>15</t>
        </is>
      </c>
      <c r="C41" s="7" t="inlineStr">
        <is>
          <t>Tout utilisateur</t>
        </is>
      </c>
      <c r="D41" s="7" t="inlineStr">
        <is>
          <t>Connexion</t>
        </is>
      </c>
      <c r="E41" s="7" t="inlineStr">
        <is>
          <t>Saisir cinq codes faux de suite.</t>
        </is>
      </c>
      <c r="F41" s="7" t="inlineStr">
        <is>
          <t>—</t>
        </is>
      </c>
      <c r="G41" s="7" t="inlineStr">
        <is>
          <t>Accès bloqué temporairement ; tentatives journalisées.</t>
        </is>
      </c>
      <c r="H41" s="7" t="inlineStr"/>
      <c r="I41" s="7" t="inlineStr"/>
      <c r="J41" s="7" t="inlineStr"/>
      <c r="K41" s="7" t="inlineStr"/>
      <c r="L41" s="7" t="inlineStr"/>
    </row>
    <row r="42">
      <c r="A42" s="6" t="inlineStr">
        <is>
          <t>R41</t>
        </is>
      </c>
      <c r="B42" s="6" t="inlineStr">
        <is>
          <t>15</t>
        </is>
      </c>
      <c r="C42" s="6" t="inlineStr">
        <is>
          <t>Exploitation</t>
        </is>
      </c>
      <c r="D42" s="6" t="inlineStr">
        <is>
          <t>Navigation</t>
        </is>
      </c>
      <c r="E42" s="6" t="inlineStr">
        <is>
          <t>Tenter d'ouvrir le tableau de bord du dirigeant.</t>
        </is>
      </c>
      <c r="F42" s="6" t="inlineStr">
        <is>
          <t>—</t>
        </is>
      </c>
      <c r="G42" s="6" t="inlineStr">
        <is>
          <t>Accès refusé : le profil ne le permet pas.</t>
        </is>
      </c>
      <c r="H42" s="6" t="inlineStr"/>
      <c r="I42" s="6" t="inlineStr"/>
      <c r="J42" s="6" t="inlineStr"/>
      <c r="K42" s="6" t="inlineStr"/>
      <c r="L42" s="6" t="inlineStr"/>
    </row>
    <row r="43">
      <c r="A43" s="7" t="inlineStr">
        <is>
          <t>R42</t>
        </is>
      </c>
      <c r="B43" s="7" t="inlineStr">
        <is>
          <t>15</t>
        </is>
      </c>
      <c r="C43" s="7" t="inlineStr">
        <is>
          <t>Administration</t>
        </is>
      </c>
      <c r="D43" s="7" t="inlineStr">
        <is>
          <t>Administration &gt; Utilisateurs</t>
        </is>
      </c>
      <c r="E43" s="7" t="inlineStr">
        <is>
          <t>Désactiver un compte.</t>
        </is>
      </c>
      <c r="F43" s="7" t="inlineStr">
        <is>
          <t>—</t>
        </is>
      </c>
      <c r="G43" s="7" t="inlineStr">
        <is>
          <t>Sessions fermées immédiatement ; historique conservé.</t>
        </is>
      </c>
      <c r="H43" s="7" t="inlineStr"/>
      <c r="I43" s="7" t="inlineStr"/>
      <c r="J43" s="7" t="inlineStr"/>
      <c r="K43" s="7" t="inlineStr"/>
      <c r="L43" s="7" t="inlineStr"/>
    </row>
    <row r="44">
      <c r="A44" s="6" t="inlineStr">
        <is>
          <t>R43</t>
        </is>
      </c>
      <c r="B44" s="6" t="inlineStr">
        <is>
          <t>16</t>
        </is>
      </c>
      <c r="C44" s="6" t="inlineStr">
        <is>
          <t>Prestataire, devant le client</t>
        </is>
      </c>
      <c r="D44" s="6" t="inlineStr">
        <is>
          <t>Serveur</t>
        </is>
      </c>
      <c r="E44" s="6" t="inlineStr">
        <is>
          <t>Restaurer la production à un instant choisi dans un environnement jetable (backup/restore-test.sh --target … --report).</t>
        </is>
      </c>
      <c r="F44" s="6" t="inlineStr">
        <is>
          <t>Heure choisie par le client</t>
        </is>
      </c>
      <c r="G44" s="6" t="inlineStr">
        <is>
          <t>Base restaurée et contrôlée (sociétés, pièces) ; compte rendu remis ; disponibilité du mois écoulé calculée (availability-report.py).</t>
        </is>
      </c>
      <c r="H44" s="6" t="inlineStr"/>
      <c r="I44" s="6" t="inlineStr"/>
      <c r="J44" s="6" t="inlineStr"/>
      <c r="K44" s="6" t="inlineStr"/>
      <c r="L44" s="6" t="inlineStr"/>
    </row>
    <row r="45">
      <c r="A45" s="7" t="inlineStr">
        <is>
          <t>R44</t>
        </is>
      </c>
      <c r="B45" s="7" t="inlineStr">
        <is>
          <t>17</t>
        </is>
      </c>
      <c r="C45" s="7" t="inlineStr">
        <is>
          <t>Chaque profil</t>
        </is>
      </c>
      <c r="D45" s="7" t="inlineStr">
        <is>
          <t>Guide du profil</t>
        </is>
      </c>
      <c r="E45" s="7" t="inlineStr">
        <is>
          <t>Réaliser les tâches du guide sans assistance.</t>
        </is>
      </c>
      <c r="F45" s="7" t="inlineStr">
        <is>
          <t>Guide remis en formation</t>
        </is>
      </c>
      <c r="G45" s="7" t="inlineStr">
        <is>
          <t>Tâches réalisées ; remarques notées.</t>
        </is>
      </c>
      <c r="H45" s="7" t="inlineStr"/>
      <c r="I45" s="7" t="inlineStr"/>
      <c r="J45" s="7" t="inlineStr"/>
      <c r="K45" s="7" t="inlineStr"/>
      <c r="L45" s="7" t="inlineStr"/>
    </row>
    <row r="46">
      <c r="A46" s="6" t="inlineStr">
        <is>
          <t>R45</t>
        </is>
      </c>
      <c r="B46" s="6" t="inlineStr">
        <is>
          <t>18</t>
        </is>
      </c>
      <c r="C46" s="6" t="inlineStr">
        <is>
          <t>Référent</t>
        </is>
      </c>
      <c r="D46" s="6" t="inlineStr">
        <is>
          <t>Suivi des demandes</t>
        </is>
      </c>
      <c r="E46" s="6" t="inlineStr">
        <is>
          <t>Déclarer une anomalie de recette selon la procédure de support.</t>
        </is>
      </c>
      <c r="F46" s="6" t="inlineStr">
        <is>
          <t>Procédure de support remise</t>
        </is>
      </c>
      <c r="G46" s="6" t="inlineStr">
        <is>
          <t>Accusé de réception, gravité confirmée, prise en compte dans les délais de l'offre (chapitre 7.2).</t>
        </is>
      </c>
      <c r="H46" s="6" t="inlineStr"/>
      <c r="I46" s="6" t="inlineStr"/>
      <c r="J46" s="6" t="inlineStr"/>
      <c r="K46" s="6" t="inlineStr"/>
      <c r="L46" s="6" t="inlineStr"/>
    </row>
    <row r="47">
      <c r="A47" s="7" t="inlineStr">
        <is>
          <t>R46</t>
        </is>
      </c>
      <c r="B47" s="7" t="inlineStr">
        <is>
          <t>19</t>
        </is>
      </c>
      <c r="C47" s="7" t="inlineStr">
        <is>
          <t>Prestataire</t>
        </is>
      </c>
      <c r="D47" s="7" t="inlineStr">
        <is>
          <t>Recette puis production</t>
        </is>
      </c>
      <c r="E47" s="7" t="inlineStr">
        <is>
          <t>Ajouter une fonction ou un module du noyau selon le dossier technique, l'installer en recette, la faire valider, la mettre en production.</t>
        </is>
      </c>
      <c r="F47" s="7" t="inlineStr">
        <is>
          <t>Dossier technique</t>
        </is>
      </c>
      <c r="G47" s="7" t="inlineStr">
        <is>
          <t>Procédure de mise en production suivie ; interruption limitée à quelques minutes, annoncée.</t>
        </is>
      </c>
      <c r="H47" s="7" t="inlineStr"/>
      <c r="I47" s="7" t="inlineStr"/>
      <c r="J47" s="7" t="inlineStr"/>
      <c r="K47" s="7" t="inlineStr"/>
      <c r="L47" s="7" t="inlineStr"/>
    </row>
    <row r="48">
      <c r="A48" s="6" t="inlineStr">
        <is>
          <t>R47</t>
        </is>
      </c>
      <c r="B48" s="6" t="inlineStr">
        <is>
          <t>10</t>
        </is>
      </c>
      <c r="C48" s="6" t="inlineStr">
        <is>
          <t>Finance</t>
        </is>
      </c>
      <c r="D48" s="6" t="inlineStr">
        <is>
          <t>Achats et dépenses</t>
        </is>
      </c>
      <c r="E48" s="6" t="inlineStr">
        <is>
          <t>Remettre en brouillon une pièce approuvée ; changer le fournisseur ; la valider.</t>
        </is>
      </c>
      <c r="F48" s="6" t="inlineStr">
        <is>
          <t>Pièce approuvée</t>
        </is>
      </c>
      <c r="G48" s="6" t="inlineStr">
        <is>
          <t>Validation refusée : la pièce modifiée repart au circuit d'approbation.</t>
        </is>
      </c>
      <c r="H48" s="6" t="inlineStr"/>
      <c r="I48" s="6" t="inlineStr"/>
      <c r="J48" s="6" t="inlineStr"/>
      <c r="K48" s="6" t="inlineStr"/>
      <c r="L48" s="6" t="inlineStr"/>
    </row>
    <row r="49">
      <c r="A49" s="7" t="inlineStr">
        <is>
          <t>R48</t>
        </is>
      </c>
      <c r="B49" s="7" t="inlineStr">
        <is>
          <t>15</t>
        </is>
      </c>
      <c r="C49" s="7" t="inlineStr">
        <is>
          <t>Exploitation</t>
        </is>
      </c>
      <c r="D49" s="7" t="inlineStr">
        <is>
          <t>Application Rotations</t>
        </is>
      </c>
      <c r="E49" s="7" t="inlineStr">
        <is>
          <t>Se déconnecter ; passer en mode avion ; rouvrir l'application.</t>
        </is>
      </c>
      <c r="F49" s="7" t="inlineStr">
        <is>
          <t>Saisie en attente</t>
        </is>
      </c>
      <c r="G49" s="7" t="inlineStr">
        <is>
          <t>L'application ne s'ouvre plus sous l'identité de l'agent parti ; sa saisie en attente reste et part à sa prochaine connexion.</t>
        </is>
      </c>
      <c r="H49" s="7" t="inlineStr"/>
      <c r="I49" s="7" t="inlineStr"/>
      <c r="J49" s="7" t="inlineStr"/>
      <c r="K49" s="7" t="inlineStr"/>
      <c r="L49" s="7" t="inlineStr"/>
    </row>
    <row r="50">
      <c r="A50" s="6" t="inlineStr">
        <is>
          <t>R49</t>
        </is>
      </c>
      <c r="B50" s="6" t="inlineStr">
        <is>
          <t>13</t>
        </is>
      </c>
      <c r="C50" s="6" t="inlineStr">
        <is>
          <t>Immobilier</t>
        </is>
      </c>
      <c r="D50" s="6" t="inlineStr">
        <is>
          <t>Immobilier &gt; Biens et baux</t>
        </is>
      </c>
      <c r="E50" s="6" t="inlineStr">
        <is>
          <t>Mettre fin à un bail ; revenir le lendemain ; modifier la valeur actuelle d'un bien.</t>
        </is>
      </c>
      <c r="F50" s="6" t="inlineStr">
        <is>
          <t>Bail en cours</t>
        </is>
      </c>
      <c r="G50" s="6" t="inlineStr">
        <is>
          <t>Loyers dus jusqu'à la fin émis, plus aucun ensuite ; bien libre ; valeur et rendement du patrimoine mis à jour.</t>
        </is>
      </c>
      <c r="H50" s="6" t="inlineStr"/>
      <c r="I50" s="6" t="inlineStr"/>
      <c r="J50" s="6" t="inlineStr"/>
      <c r="K50" s="6" t="inlineStr"/>
      <c r="L50" s="6" t="inlineStr"/>
    </row>
    <row r="51">
      <c r="A51" s="7" t="inlineStr">
        <is>
          <t>R50</t>
        </is>
      </c>
      <c r="B51" s="7" t="inlineStr">
        <is>
          <t>14</t>
        </is>
      </c>
      <c r="C51" s="7" t="inlineStr">
        <is>
          <t>Finance</t>
        </is>
      </c>
      <c r="D51" s="7" t="inlineStr">
        <is>
          <t>Clôtures et contrôles</t>
        </is>
      </c>
      <c r="E51" s="7" t="inlineStr">
        <is>
          <t>Après une clôture mensuelle, consulter les contrôles d'intégrité.</t>
        </is>
      </c>
      <c r="F51" s="7" t="inlineStr">
        <is>
          <t>Mois clôturé</t>
        </is>
      </c>
      <c r="G51" s="7" t="inlineStr">
        <is>
          <t>Contrôles du mois écoulé et chaînage « Intactes » pour chaque journal verrouillé.</t>
        </is>
      </c>
      <c r="H51" s="7" t="inlineStr"/>
      <c r="I51" s="7" t="inlineStr"/>
      <c r="J51" s="7" t="inlineStr"/>
      <c r="K51" s="7" t="inlineStr"/>
      <c r="L51" s="7" t="inlineStr"/>
    </row>
    <row r="52">
      <c r="A52" s="6" t="inlineStr">
        <is>
          <t>R51</t>
        </is>
      </c>
      <c r="B52" s="6" t="inlineStr">
        <is>
          <t>2</t>
        </is>
      </c>
      <c r="C52" s="6" t="inlineStr">
        <is>
          <t>Direction</t>
        </is>
      </c>
      <c r="D52" s="6" t="inlineStr">
        <is>
          <t>Balance et états &gt; Consolidé du groupe</t>
        </is>
      </c>
      <c r="E52" s="6" t="inlineStr">
        <is>
          <t>Facturer une prestation d'une société du groupe à l'autre ; afficher le consolidé de l'exercice.</t>
        </is>
      </c>
      <c r="F52" s="6" t="inlineStr">
        <is>
          <t>Facture intra-groupe</t>
        </is>
      </c>
      <c r="G52" s="6" t="inlineStr">
        <is>
          <t>Compte de résultat et bilan par société ; la vente et l'achat réciproques, la créance et la dette s'éliminent ; colonne Groupe = somme des sociétés − éliminations.</t>
        </is>
      </c>
      <c r="H52" s="6" t="inlineStr"/>
      <c r="I52" s="6" t="inlineStr"/>
      <c r="J52" s="6" t="inlineStr"/>
      <c r="K52" s="6" t="inlineStr"/>
      <c r="L52" s="6" t="inlineStr"/>
    </row>
    <row r="53">
      <c r="A53" s="7" t="inlineStr">
        <is>
          <t>R52</t>
        </is>
      </c>
      <c r="B53" s="7" t="inlineStr">
        <is>
          <t>1</t>
        </is>
      </c>
      <c r="C53" s="7" t="inlineStr">
        <is>
          <t>Direction</t>
        </is>
      </c>
      <c r="D53" s="7" t="inlineStr">
        <is>
          <t>Finance &gt; Tableau de bord</t>
        </is>
      </c>
      <c r="E53" s="7" t="inlineStr">
        <is>
          <t>Choisir une date d'arrêté ; lire les onze questions du dirigeant et le bloc « Ce qui demande une décision » ; imprimer.</t>
        </is>
      </c>
      <c r="F53" s="7" t="inlineStr">
        <is>
          <t>Données reprises</t>
        </is>
      </c>
      <c r="G53" s="7" t="inlineStr">
        <is>
          <t>Chaque question a sa réponse, son verdict (vert, orange, rouge) et sa lecture ; décisions reliées aux alertes.</t>
        </is>
      </c>
      <c r="H53" s="7" t="inlineStr"/>
      <c r="I53" s="7" t="inlineStr"/>
      <c r="J53" s="7" t="inlineStr"/>
      <c r="K53" s="7" t="inlineStr"/>
      <c r="L53" s="7" t="inlineStr"/>
    </row>
    <row r="54">
      <c r="A54" s="6" t="inlineStr">
        <is>
          <t>R53</t>
        </is>
      </c>
      <c r="B54" s="6" t="inlineStr">
        <is>
          <t>1</t>
        </is>
      </c>
      <c r="C54" s="6" t="inlineStr">
        <is>
          <t>Finance</t>
        </is>
      </c>
      <c r="D54" s="6" t="inlineStr">
        <is>
          <t>Pilotage &gt; Alertes</t>
        </is>
      </c>
      <c r="E54" s="6" t="inlineStr">
        <is>
          <t>Afficher toutes les règles, conformes comprises ; modifier un seuil (DSCR, délai de recouvrement).</t>
        </is>
      </c>
      <c r="F54" s="6" t="inlineStr">
        <is>
          <t>—</t>
        </is>
      </c>
      <c r="G54" s="6" t="inlineStr">
        <is>
          <t>Gravité, valeur, seuil et action recommandée pour chaque règle ; seuil laissé à zéro signalé en vigilance.</t>
        </is>
      </c>
      <c r="H54" s="6" t="inlineStr"/>
      <c r="I54" s="6" t="inlineStr"/>
      <c r="J54" s="6" t="inlineStr"/>
      <c r="K54" s="6" t="inlineStr"/>
      <c r="L54" s="6" t="inlineStr"/>
    </row>
    <row r="55">
      <c r="A55" s="7" t="inlineStr">
        <is>
          <t>R54</t>
        </is>
      </c>
      <c r="B55" s="7" t="inlineStr">
        <is>
          <t>4</t>
        </is>
      </c>
      <c r="C55" s="7" t="inlineStr">
        <is>
          <t>Finance</t>
        </is>
      </c>
      <c r="D55" s="7" t="inlineStr">
        <is>
          <t>Achats et dépenses</t>
        </is>
      </c>
      <c r="E55" s="7" t="inlineStr">
        <is>
          <t>Saisir une dépense par sa catégorie, sur deux axes (activité et ensemble routier).</t>
        </is>
      </c>
      <c r="F55" s="7" t="inlineStr">
        <is>
          <t>Catégorie Carburant</t>
        </is>
      </c>
      <c r="G55" s="7" t="inlineStr">
        <is>
          <t>Compte de charge, compte du fournisseur et TVA déduits de la catégorie ; ventilation analytique sur les deux axes.</t>
        </is>
      </c>
      <c r="H55" s="7" t="inlineStr"/>
      <c r="I55" s="7" t="inlineStr"/>
      <c r="J55" s="7" t="inlineStr"/>
      <c r="K55" s="7" t="inlineStr"/>
      <c r="L55" s="7" t="inlineStr"/>
    </row>
    <row r="56">
      <c r="A56" s="6" t="inlineStr">
        <is>
          <t>R55</t>
        </is>
      </c>
      <c r="B56" s="6" t="inlineStr">
        <is>
          <t>7</t>
        </is>
      </c>
      <c r="C56" s="6" t="inlineStr">
        <is>
          <t>Finance</t>
        </is>
      </c>
      <c r="D56" s="6" t="inlineStr">
        <is>
          <t>Activités et budget &gt; Budget</t>
        </is>
      </c>
      <c r="E56" s="6" t="inlineStr">
        <is>
          <t>Importer le budget par ligne budgétaire (XLSX) ; comparer au réalisé et aux engagements.</t>
        </is>
      </c>
      <c r="F56" s="6" t="inlineStr">
        <is>
          <t>Budget 2026 du classeur</t>
        </is>
      </c>
      <c r="G56" s="6" t="inlineStr">
        <is>
          <t>Budget cumulé, réalisé, engagé, disponible, écart et statut (dépassement, conforme, sous-réalisation) par ligne.</t>
        </is>
      </c>
      <c r="H56" s="6" t="inlineStr"/>
      <c r="I56" s="6" t="inlineStr"/>
      <c r="J56" s="6" t="inlineStr"/>
      <c r="K56" s="6" t="inlineStr"/>
      <c r="L56" s="6" t="inlineStr"/>
    </row>
    <row r="57">
      <c r="A57" s="7" t="inlineStr">
        <is>
          <t>R56</t>
        </is>
      </c>
      <c r="B57" s="7" t="inlineStr">
        <is>
          <t>10</t>
        </is>
      </c>
      <c r="C57" s="7" t="inlineStr">
        <is>
          <t>Chantiers puis finance et direction</t>
        </is>
      </c>
      <c r="D57" s="7" t="inlineStr">
        <is>
          <t>Engagements</t>
        </is>
      </c>
      <c r="E57" s="7" t="inlineStr">
        <is>
          <t>Créer un engagement de dépense de 60 M GNF avec son devis ; le faire approuver ; saisir ensuite la facture du fournisseur.</t>
        </is>
      </c>
      <c r="F57" s="7" t="inlineStr">
        <is>
          <t>Devis joint</t>
        </is>
      </c>
      <c r="G57" s="7" t="inlineStr">
        <is>
          <t>Engagement approuvé par la finance puis la direction ; la facture consomme l'engagement sans refaire le circuit ; reste à engager à jour.</t>
        </is>
      </c>
      <c r="H57" s="7" t="inlineStr"/>
      <c r="I57" s="7" t="inlineStr"/>
      <c r="J57" s="7" t="inlineStr"/>
      <c r="K57" s="7" t="inlineStr"/>
      <c r="L57" s="7" t="inlineStr"/>
    </row>
    <row r="58">
      <c r="A58" s="6" t="inlineStr">
        <is>
          <t>R57</t>
        </is>
      </c>
      <c r="B58" s="6" t="inlineStr">
        <is>
          <t>10</t>
        </is>
      </c>
      <c r="C58" s="6" t="inlineStr">
        <is>
          <t>Finance puis direction</t>
        </is>
      </c>
      <c r="D58" s="6" t="inlineStr">
        <is>
          <t>Trésorerie</t>
        </is>
      </c>
      <c r="E58" s="6" t="inlineStr">
        <is>
          <t>Saisir une sortie de banque de 150 M GNF ; tenter de la comptabiliser.</t>
        </is>
      </c>
      <c r="F58" s="6" t="inlineStr">
        <is>
          <t>—</t>
        </is>
      </c>
      <c r="G58" s="6" t="inlineStr">
        <is>
          <t>Opération en brouillon jusqu'à l'accord de la direction, comptabilisée à la dernière approbation.</t>
        </is>
      </c>
      <c r="H58" s="6" t="inlineStr"/>
      <c r="I58" s="6" t="inlineStr"/>
      <c r="J58" s="6" t="inlineStr"/>
      <c r="K58" s="6" t="inlineStr"/>
      <c r="L58" s="6" t="inlineStr"/>
    </row>
    <row r="59">
      <c r="A59" s="7" t="inlineStr">
        <is>
          <t>R58</t>
        </is>
      </c>
      <c r="B59" s="7" t="inlineStr">
        <is>
          <t>3</t>
        </is>
      </c>
      <c r="C59" s="7" t="inlineStr">
        <is>
          <t>Finance</t>
        </is>
      </c>
      <c r="D59" s="7" t="inlineStr">
        <is>
          <t>Clôtures et contrôles &gt; Clôture mensuelle</t>
        </is>
      </c>
      <c r="E59" s="7" t="inlineStr">
        <is>
          <t>Clôturer un mois complet.</t>
        </is>
      </c>
      <c r="F59" s="7" t="inlineStr">
        <is>
          <t>Mois repris</t>
        </is>
      </c>
      <c r="G59" s="7" t="inlineStr">
        <is>
          <t>Dotations, liquidation de la TVA (pièce TVA du mois), factures à établir des rotations non facturées (extournées le mois suivant), sceau et procès-verbal imprimé.</t>
        </is>
      </c>
      <c r="H59" s="7" t="inlineStr"/>
      <c r="I59" s="7" t="inlineStr"/>
      <c r="J59" s="7" t="inlineStr"/>
      <c r="K59" s="7" t="inlineStr"/>
      <c r="L59" s="7" t="inlineStr"/>
    </row>
    <row r="60">
      <c r="A60" s="6" t="inlineStr">
        <is>
          <t>R59</t>
        </is>
      </c>
      <c r="B60" s="6" t="inlineStr">
        <is>
          <t>3</t>
        </is>
      </c>
      <c r="C60" s="6" t="inlineStr">
        <is>
          <t>Finance et responsable financier</t>
        </is>
      </c>
      <c r="D60" s="6" t="inlineStr">
        <is>
          <t>Clôtures et contrôles &gt; Validation de la reprise</t>
        </is>
      </c>
      <c r="E60" s="6" t="inlineStr">
        <is>
          <t>Charger les valeurs de référence du classeur ; lancer le contrôle ; imprimer l'annexe.</t>
        </is>
      </c>
      <c r="F60" s="6" t="inlineStr">
        <is>
          <t>Valeurs de référence du classeur</t>
        </is>
      </c>
      <c r="G60" s="6" t="inlineStr">
        <is>
          <t>26 indicateurs recalculés, écart de chacun ; « 26/26 » conformes attendu avant la bascule ; annexe jointe au procès-verbal de bascule.</t>
        </is>
      </c>
      <c r="H60" s="6" t="inlineStr"/>
      <c r="I60" s="6" t="inlineStr"/>
      <c r="J60" s="6" t="inlineStr"/>
      <c r="K60" s="6" t="inlineStr"/>
      <c r="L60" s="6" t="inlineStr"/>
    </row>
    <row r="61">
      <c r="A61" s="7" t="inlineStr">
        <is>
          <t>R60</t>
        </is>
      </c>
      <c r="B61" s="7" t="inlineStr">
        <is>
          <t>11</t>
        </is>
      </c>
      <c r="C61" s="7" t="inlineStr">
        <is>
          <t>Direction</t>
        </is>
      </c>
      <c r="D61" s="7" t="inlineStr">
        <is>
          <t>Transport &gt; Rentabilité</t>
        </is>
      </c>
      <c r="E61" s="7" t="inlineStr">
        <is>
          <t>Afficher la rentabilité par ensemble routier avec les charges de structure ; contrôler les manquants d'une rotation.</t>
        </is>
      </c>
      <c r="F61" s="7" t="inlineStr">
        <is>
          <t>Rotations reprises</t>
        </is>
      </c>
      <c r="G61" s="7" t="inlineStr">
        <is>
          <t>Coût et CA au km, structure, résultat net par ensemble ; manquant toléré, excédentaire déduit ou imputé au chauffeur ; taxes spécifiques au barème.</t>
        </is>
      </c>
      <c r="H61" s="7" t="inlineStr"/>
      <c r="I61" s="7" t="inlineStr"/>
      <c r="J61" s="7" t="inlineStr"/>
      <c r="K61" s="7" t="inlineStr"/>
      <c r="L61" s="7" t="inlineStr"/>
    </row>
    <row r="62">
      <c r="A62" s="6" t="inlineStr">
        <is>
          <t>R61</t>
        </is>
      </c>
      <c r="B62" s="6" t="inlineStr">
        <is>
          <t>9</t>
        </is>
      </c>
      <c r="C62" s="6" t="inlineStr">
        <is>
          <t>Finance</t>
        </is>
      </c>
      <c r="D62" s="6" t="inlineStr">
        <is>
          <t>Fiscalité</t>
        </is>
      </c>
      <c r="E62" s="6" t="inlineStr">
        <is>
          <t>Saisir une facture fournisseur soumise à retenue à la source ; consulter la déclaration du mois.</t>
        </is>
      </c>
      <c r="F62" s="6" t="inlineStr">
        <is>
          <t>Prestataire non résident ou retenue BIC</t>
        </is>
      </c>
      <c r="G62" s="6" t="inlineStr">
        <is>
          <t>Retenue calculée et portée au compte de l'État ; déclaration et historique à jour.</t>
        </is>
      </c>
      <c r="H62" s="6" t="inlineStr"/>
      <c r="I62" s="6" t="inlineStr"/>
      <c r="J62" s="6" t="inlineStr"/>
      <c r="K62" s="6" t="inlineStr"/>
      <c r="L62" s="6" t="inlineStr"/>
    </row>
    <row r="63">
      <c r="A63" s="7" t="inlineStr">
        <is>
          <t>R63</t>
        </is>
      </c>
      <c r="B63" s="7" t="inlineStr">
        <is>
          <t>11</t>
        </is>
      </c>
      <c r="C63" s="7" t="inlineStr">
        <is>
          <t>Finance</t>
        </is>
      </c>
      <c r="D63" s="7" t="inlineStr">
        <is>
          <t>Transport &gt; Routes et tarifs</t>
        </is>
      </c>
      <c r="E63" s="7" t="inlineStr">
        <is>
          <t>Renseigner les forfaits d'une route et le prix du carburant ; saisir une rotation, la valider, puis changer le prix.</t>
        </is>
      </c>
      <c r="F63" s="7" t="inlineStr">
        <is>
          <t>Route et ensemble existants</t>
        </is>
      </c>
      <c r="G63" s="7" t="inlineStr">
        <is>
          <t>Coût standard et marge estimée affichés à la saisie ; après validation, un nouveau prix ne change pas la rotation ; rentabilité : coûts standard, déclarés et comptabilisés côte à côte.</t>
        </is>
      </c>
      <c r="H63" s="7" t="inlineStr"/>
      <c r="I63" s="7" t="inlineStr"/>
      <c r="J63" s="7" t="inlineStr"/>
      <c r="K63" s="7" t="inlineStr"/>
      <c r="L63" s="7" t="inlineStr"/>
    </row>
    <row r="64">
      <c r="A64" s="6" t="inlineStr">
        <is>
          <t>R64</t>
        </is>
      </c>
      <c r="B64" s="6" t="inlineStr">
        <is>
          <t>11</t>
        </is>
      </c>
      <c r="C64" s="6" t="inlineStr">
        <is>
          <t>Finance</t>
        </is>
      </c>
      <c r="D64" s="6" t="inlineStr">
        <is>
          <t>Transport &gt; Flotte, Propriétaires</t>
        </is>
      </c>
      <c r="E64" s="6" t="inlineStr">
        <is>
          <t>Déclarer un ensemble géré pour un propriétaire avec ses charges mensuelles ; créer une règle de 5 % pour la société et une commission de partenaire ; établir les relevés du mois.</t>
        </is>
      </c>
      <c r="F64" s="6" t="inlineStr">
        <is>
          <t>Rotations validées sur l'ensemble</t>
        </is>
      </c>
      <c r="G64" s="6" t="inlineStr">
        <is>
          <t>Relevé : chiffre d'affaires, charges, marge, commissions, part du propriétaire ; PDF et Excel ; ensemble à l'arrêt : part négative.</t>
        </is>
      </c>
      <c r="H64" s="6" t="inlineStr"/>
      <c r="I64" s="6" t="inlineStr"/>
      <c r="J64" s="6" t="inlineStr"/>
      <c r="K64" s="6" t="inlineStr"/>
      <c r="L64" s="6" t="inlineStr"/>
    </row>
    <row r="65">
      <c r="A65" s="7" t="inlineStr">
        <is>
          <t>R65</t>
        </is>
      </c>
      <c r="B65" s="7" t="inlineStr">
        <is>
          <t>11</t>
        </is>
      </c>
      <c r="C65" s="7" t="inlineStr">
        <is>
          <t>Finance</t>
        </is>
      </c>
      <c r="D65" s="7" t="inlineStr">
        <is>
          <t>Transport &gt; Propriétaires</t>
        </is>
      </c>
      <c r="E65" s="7" t="inlineStr">
        <is>
          <t>Préparer les pièces d'un relevé, les consulter dans Achats et Ventes, puis rouvrir le relevé.</t>
        </is>
      </c>
      <c r="F65" s="7" t="inlineStr">
        <is>
          <t>Relevé établi</t>
        </is>
      </c>
      <c r="G65" s="7" t="inlineStr">
        <is>
          <t>Facture d'achat du propriétaire (ou refacturation d'une part négative) et facture du partenaire en brouillon, imputées sur l'ensemble ; aucune pièce pour la part de la société ; rouvrir supprime les brouillons.</t>
        </is>
      </c>
      <c r="H65" s="7" t="inlineStr"/>
      <c r="I65" s="7" t="inlineStr"/>
      <c r="J65" s="7" t="inlineStr"/>
      <c r="K65" s="7" t="inlineStr"/>
      <c r="L65" s="7" t="inlineStr"/>
    </row>
    <row r="66">
      <c r="A66" s="6" t="inlineStr">
        <is>
          <t>R62</t>
        </is>
      </c>
      <c r="B66" s="6" t="inlineStr">
        <is>
          <t>5</t>
        </is>
      </c>
      <c r="C66" s="6" t="inlineStr">
        <is>
          <t>Finance</t>
        </is>
      </c>
      <c r="D66" s="6" t="inlineStr">
        <is>
          <t>Pilotage &gt; Trésorerie</t>
        </is>
      </c>
      <c r="E66" s="6" t="inlineStr">
        <is>
          <t>Afficher les flux mensuels et la prévision ; régler une échéance d'emprunt depuis une ligne de relevé.</t>
        </is>
      </c>
      <c r="F66" s="6" t="inlineStr">
        <is>
          <t>Emprunt repris</t>
        </is>
      </c>
      <c r="G66" s="6" t="inlineStr">
        <is>
          <t>Encaissements, décaissements, cash net et solde par mois face au seuil ; échéance proposée au rapprochement, capital et intérêts comptabilisés une seule fois.</t>
        </is>
      </c>
      <c r="H66" s="6" t="inlineStr"/>
      <c r="I66" s="6" t="inlineStr"/>
      <c r="J66" s="6" t="inlineStr"/>
      <c r="K66" s="6" t="inlineStr"/>
      <c r="L66" s="6" t="inlineStr"/>
    </row>
    <row r="67">
      <c r="A67" s="7" t="inlineStr">
        <is>
          <t>A01</t>
        </is>
      </c>
      <c r="B67" s="7" t="inlineStr">
        <is>
          <t>AX</t>
        </is>
      </c>
      <c r="C67" s="7" t="inlineStr">
        <is>
          <t>Cabinet</t>
        </is>
      </c>
      <c r="D67" s="7" t="inlineStr">
        <is>
          <t>AxisPro &gt; Grille d'évaluation</t>
        </is>
      </c>
      <c r="E67" s="7" t="inlineStr">
        <is>
          <t>Importer la grille officielle ; la vérifier ; la mettre en vigueur.</t>
        </is>
      </c>
      <c r="F67" s="7" t="inlineStr">
        <is>
          <t>Classeur du cabinet</t>
        </is>
      </c>
      <c r="G67" s="7" t="inlineStr">
        <is>
          <t>8 gates et leurs règles, 15 domaines, 111 critères (9 knock-outs), 42 pièces et 102 rattachements chargés ; version en vigueur.</t>
        </is>
      </c>
      <c r="H67" s="7" t="inlineStr"/>
      <c r="I67" s="7" t="inlineStr"/>
      <c r="J67" s="7" t="inlineStr"/>
      <c r="K67" s="7" t="inlineStr"/>
      <c r="L67" s="7" t="inlineStr"/>
    </row>
    <row r="68">
      <c r="A68" s="6" t="inlineStr">
        <is>
          <t>A02</t>
        </is>
      </c>
      <c r="B68" s="6" t="inlineStr">
        <is>
          <t>AX</t>
        </is>
      </c>
      <c r="C68" s="6" t="inlineStr">
        <is>
          <t>Cabinet</t>
        </is>
      </c>
      <c r="D68" s="6" t="inlineStr">
        <is>
          <t>AxisPro &gt; Dossiers</t>
        </is>
      </c>
      <c r="E68" s="6" t="inlineStr">
        <is>
          <t>Ouvrir un dossier.</t>
        </is>
      </c>
      <c r="F68" s="6" t="inlineStr">
        <is>
          <t>Projet réel anonymisé</t>
        </is>
      </c>
      <c r="G68" s="6" t="inlineStr">
        <is>
          <t>Référence attribuée ; critères du premier gate à évaluer.</t>
        </is>
      </c>
      <c r="H68" s="6" t="inlineStr"/>
      <c r="I68" s="6" t="inlineStr"/>
      <c r="J68" s="6" t="inlineStr"/>
      <c r="K68" s="6" t="inlineStr"/>
      <c r="L68" s="6" t="inlineStr"/>
    </row>
    <row r="69">
      <c r="A69" s="7" t="inlineStr">
        <is>
          <t>A03</t>
        </is>
      </c>
      <c r="B69" s="7" t="inlineStr">
        <is>
          <t>AX</t>
        </is>
      </c>
      <c r="C69" s="7" t="inlineStr">
        <is>
          <t>Cabinet</t>
        </is>
      </c>
      <c r="D69" s="7" t="inlineStr">
        <is>
          <t>Dossier &gt; Évaluation</t>
        </is>
      </c>
      <c r="E69" s="7" t="inlineStr">
        <is>
          <t>Évaluer les critères en saisie guidée ; déclarer disponible un knock-out sans pièce, puis lui joindre une preuve avec sa date de validité.</t>
        </is>
      </c>
      <c r="F69" s="7" t="inlineStr">
        <is>
          <t>—</t>
        </is>
      </c>
      <c r="G69" s="7" t="inlineStr">
        <is>
          <t>Sans pièce, critère retenu « incomplet » (saisie inchangée) ; avec la preuve, retenu disponible ; Readiness, APD et Bankability recalculés ; pièce de la data room disponible.</t>
        </is>
      </c>
      <c r="H69" s="7" t="inlineStr"/>
      <c r="I69" s="7" t="inlineStr"/>
      <c r="J69" s="7" t="inlineStr"/>
      <c r="K69" s="7" t="inlineStr"/>
      <c r="L69" s="7" t="inlineStr"/>
    </row>
    <row r="70">
      <c r="A70" s="6" t="inlineStr">
        <is>
          <t>A04</t>
        </is>
      </c>
      <c r="B70" s="6" t="inlineStr">
        <is>
          <t>AX</t>
        </is>
      </c>
      <c r="C70" s="6" t="inlineStr">
        <is>
          <t>Cabinet</t>
        </is>
      </c>
      <c r="D70" s="6" t="inlineStr">
        <is>
          <t>Dossier &gt; Synthèse</t>
        </is>
      </c>
      <c r="E70" s="6" t="inlineStr">
        <is>
          <t>Contrôler les knock-outs et les actions prioritaires ; passer au gate suivant ; forcer un passage refusé avec un motif.</t>
        </is>
      </c>
      <c r="F70" s="6" t="inlineStr">
        <is>
          <t>—</t>
        </is>
      </c>
      <c r="G70" s="6" t="inlineStr">
        <is>
          <t>NO-GO si un knock-out est actif ; passage refusé avec ses motifs ; passage forcé inscrit au journal.</t>
        </is>
      </c>
      <c r="H70" s="6" t="inlineStr"/>
      <c r="I70" s="6" t="inlineStr"/>
      <c r="J70" s="6" t="inlineStr"/>
      <c r="K70" s="6" t="inlineStr"/>
      <c r="L70" s="6" t="inlineStr"/>
    </row>
    <row r="71">
      <c r="A71" s="7" t="inlineStr">
        <is>
          <t>A05</t>
        </is>
      </c>
      <c r="B71" s="7" t="inlineStr">
        <is>
          <t>AX</t>
        </is>
      </c>
      <c r="C71" s="7" t="inlineStr">
        <is>
          <t>Cabinet</t>
        </is>
      </c>
      <c r="D71" s="7" t="inlineStr">
        <is>
          <t>Dossier &gt; Comités</t>
        </is>
      </c>
      <c r="E71" s="7" t="inlineStr">
        <is>
          <t>Sceller et verrouiller une décision HOLD motivée ; vérifier l'empreinte ; tenter de modifier le dossier ; ouvrir une nouvelle révision ; comparer deux revues.</t>
        </is>
      </c>
      <c r="F71" s="7" t="inlineStr">
        <is>
          <t>—</t>
        </is>
      </c>
      <c r="G71" s="7" t="inlineStr">
        <is>
          <t>Décision non modifiable, empreinte valide ; dossier figé jusqu'à la nouvelle révision ; comparaison des scores, gates et domaines.</t>
        </is>
      </c>
      <c r="H71" s="7" t="inlineStr"/>
      <c r="I71" s="7" t="inlineStr"/>
      <c r="J71" s="7" t="inlineStr"/>
      <c r="K71" s="7" t="inlineStr"/>
      <c r="L71" s="7" t="inlineStr"/>
    </row>
    <row r="72">
      <c r="A72" s="6" t="inlineStr">
        <is>
          <t>A06</t>
        </is>
      </c>
      <c r="B72" s="6" t="inlineStr">
        <is>
          <t>AX</t>
        </is>
      </c>
      <c r="C72" s="6" t="inlineStr">
        <is>
          <t>Cabinet</t>
        </is>
      </c>
      <c r="D72" s="6" t="inlineStr">
        <is>
          <t>Dossier &gt; Rapport</t>
        </is>
      </c>
      <c r="E72" s="6" t="inlineStr">
        <is>
          <t>Télécharger le rapport du comité (PDF), le classeur d'évaluation, la fiche d'évaluation (la modifier puis la réimporter), la data room (.zip) et les pièces à fournir.</t>
        </is>
      </c>
      <c r="F72" s="6" t="inlineStr">
        <is>
          <t>—</t>
        </is>
      </c>
      <c r="G72" s="6" t="inlineStr">
        <is>
          <t>Politique appliquée et empreinte rappelées ; classeur au plan du modèle du cabinet ; import précédé d'un aperçu des changements.</t>
        </is>
      </c>
      <c r="H72" s="6" t="inlineStr"/>
      <c r="I72" s="6" t="inlineStr"/>
      <c r="J72" s="6" t="inlineStr"/>
      <c r="K72" s="6" t="inlineStr"/>
      <c r="L72" s="6" t="inlineStr"/>
    </row>
    <row r="73">
      <c r="A73" s="7" t="inlineStr">
        <is>
          <t>A07</t>
        </is>
      </c>
      <c r="B73" s="7" t="inlineStr">
        <is>
          <t>AX</t>
        </is>
      </c>
      <c r="C73" s="7" t="inlineStr">
        <is>
          <t>Cabinet</t>
        </is>
      </c>
      <c r="D73" s="7" t="inlineStr">
        <is>
          <t>Dossier &gt; Temps et facturation</t>
        </is>
      </c>
      <c r="E73" s="7" t="inlineStr">
        <is>
          <t>Saisir des temps ; facturer les honoraires.</t>
        </is>
      </c>
      <c r="F73" s="7" t="inlineStr">
        <is>
          <t>Taux horaire</t>
        </is>
      </c>
      <c r="G73" s="7" t="inlineStr">
        <is>
          <t>Facture d'honoraires en brouillon dans la comptabilité du cabinet.</t>
        </is>
      </c>
      <c r="H73" s="7" t="inlineStr"/>
      <c r="I73" s="7" t="inlineStr"/>
      <c r="J73" s="7" t="inlineStr"/>
      <c r="K73" s="7" t="inlineStr"/>
      <c r="L73" s="7" t="inlineStr"/>
    </row>
    <row r="74">
      <c r="A74" s="6" t="inlineStr">
        <is>
          <t>A08</t>
        </is>
      </c>
      <c r="B74" s="6" t="inlineStr">
        <is>
          <t>AX</t>
        </is>
      </c>
      <c r="C74" s="6" t="inlineStr">
        <is>
          <t>Porteur de projet</t>
        </is>
      </c>
      <c r="D74" s="6" t="inlineStr">
        <is>
          <t>Portail</t>
        </is>
      </c>
      <c r="E74" s="6" t="inlineStr">
        <is>
          <t>Première connexion ; déposer une pièce ; écrire au cabinet.</t>
        </is>
      </c>
      <c r="F74" s="6" t="inlineStr">
        <is>
          <t>Accès ouvert par le cabinet</t>
        </is>
      </c>
      <c r="G74" s="6" t="inlineStr">
        <is>
          <t>Pièce visible du cabinet ; notes internes du cabinet invisibles du porteur.</t>
        </is>
      </c>
      <c r="H74" s="6" t="inlineStr"/>
      <c r="I74" s="6" t="inlineStr"/>
      <c r="J74" s="6" t="inlineStr"/>
      <c r="K74" s="6" t="inlineStr"/>
      <c r="L74" s="6" t="inlineStr"/>
    </row>
    <row r="75">
      <c r="A75" s="7" t="inlineStr">
        <is>
          <t>A09</t>
        </is>
      </c>
      <c r="B75" s="7" t="inlineStr">
        <is>
          <t>AX</t>
        </is>
      </c>
      <c r="C75" s="7" t="inlineStr">
        <is>
          <t>Cabinet</t>
        </is>
      </c>
      <c r="D75" s="7" t="inlineStr">
        <is>
          <t>Dossier &gt; Data room</t>
        </is>
      </c>
      <c r="E75" s="7" t="inlineStr">
        <is>
          <t>Valider une pièce ; en refuser une autre avec un motif.</t>
        </is>
      </c>
      <c r="F75" s="7" t="inlineStr">
        <is>
          <t>—</t>
        </is>
      </c>
      <c r="G75" s="7" t="inlineStr">
        <is>
          <t>Le porteur voit l'état de chaque pièce et le motif du refus.</t>
        </is>
      </c>
      <c r="H75" s="7" t="inlineStr"/>
      <c r="I75" s="7" t="inlineStr"/>
      <c r="J75" s="7" t="inlineStr"/>
      <c r="K75" s="7" t="inlineStr"/>
      <c r="L75" s="7" t="inlineStr"/>
    </row>
    <row r="76">
      <c r="A76" s="6" t="inlineStr">
        <is>
          <t>A10</t>
        </is>
      </c>
      <c r="B76" s="6" t="inlineStr">
        <is>
          <t>AX</t>
        </is>
      </c>
      <c r="C76" s="6" t="inlineStr">
        <is>
          <t>Porteur de projet</t>
        </is>
      </c>
      <c r="D76" s="6" t="inlineStr">
        <is>
          <t>Portail &gt; Pièces</t>
        </is>
      </c>
      <c r="E76" s="6" t="inlineStr">
        <is>
          <t>Déposer un programme renommé en .pdf, puis un document Word à macros.</t>
        </is>
      </c>
      <c r="F76" s="6" t="inlineStr">
        <is>
          <t>Fichiers d'essai fournis par le prestataire</t>
        </is>
      </c>
      <c r="G76" s="6" t="inlineStr">
        <is>
          <t>Dépôts refusés, formats acceptés rappelés (PDF, JPEG, PNG, DOCX, XLSX).</t>
        </is>
      </c>
      <c r="H76" s="6" t="inlineStr"/>
      <c r="I76" s="6" t="inlineStr"/>
      <c r="J76" s="6" t="inlineStr"/>
      <c r="K76" s="6" t="inlineStr"/>
      <c r="L76" s="6" t="inlineStr"/>
    </row>
    <row r="77">
      <c r="A77" s="7" t="inlineStr">
        <is>
          <t>A11</t>
        </is>
      </c>
      <c r="B77" s="7" t="inlineStr">
        <is>
          <t>AX</t>
        </is>
      </c>
      <c r="C77" s="7" t="inlineStr">
        <is>
          <t>Direction (société du groupe seule)</t>
        </is>
      </c>
      <c r="D77" s="7" t="inlineStr">
        <is>
          <t>AxisPro Suite</t>
        </is>
      </c>
      <c r="E77" s="7" t="inlineStr">
        <is>
          <t>Ouvrir AxisPro Suite avec un compte de direction ouvert à la seule société du groupe.</t>
        </is>
      </c>
      <c r="F77" s="7" t="inlineStr">
        <is>
          <t>—</t>
        </is>
      </c>
      <c r="G77" s="7" t="inlineStr">
        <is>
          <t>Aucun dossier, aucune pièce, revue ni grille du cabinet visible.</t>
        </is>
      </c>
      <c r="H77" s="7" t="inlineStr"/>
      <c r="I77" s="7" t="inlineStr"/>
      <c r="J77" s="7" t="inlineStr"/>
      <c r="K77" s="7" t="inlineStr"/>
      <c r="L77" s="7" t="inlineStr"/>
    </row>
  </sheetData>
  <autoFilter ref="A1:L77"/>
  <dataValidations count="1">
    <dataValidation sqref="I2:I77" showDropDown="0" showInputMessage="0" showErrorMessage="0" allowBlank="1" error="Choisir OK, KO ou Réserve." type="list">
      <formula1>"OK,KO,Réserve"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selection activeCell="A1" sqref="A1"/>
    </sheetView>
  </sheetViews>
  <sheetFormatPr baseColWidth="8" defaultRowHeight="15"/>
  <cols>
    <col width="9" customWidth="1" min="1" max="1"/>
    <col width="52" customWidth="1" min="2" max="2"/>
    <col width="11" customWidth="1" min="3" max="3"/>
    <col width="8" customWidth="1" min="4" max="4"/>
    <col width="9" customWidth="1" min="5" max="5"/>
    <col width="8" customWidth="1" min="6" max="6"/>
    <col width="11" customWidth="1" min="7" max="7"/>
  </cols>
  <sheetData>
    <row r="1">
      <c r="A1" s="8" t="inlineStr">
        <is>
          <t>Attente</t>
        </is>
      </c>
      <c r="B1" s="8" t="inlineStr">
        <is>
          <t>Libellé</t>
        </is>
      </c>
      <c r="C1" s="8" t="inlineStr">
        <is>
          <t>Scénarios</t>
        </is>
      </c>
      <c r="D1" s="8" t="inlineStr">
        <is>
          <t>OK</t>
        </is>
      </c>
      <c r="E1" s="8" t="inlineStr">
        <is>
          <t>Réserve</t>
        </is>
      </c>
      <c r="F1" s="8" t="inlineStr">
        <is>
          <t>KO</t>
        </is>
      </c>
      <c r="G1" s="8" t="inlineStr">
        <is>
          <t>Non joués</t>
        </is>
      </c>
    </row>
    <row r="2">
      <c r="A2" s="9" t="inlineStr">
        <is>
          <t>1</t>
        </is>
      </c>
      <c r="B2" s="9" t="inlineStr">
        <is>
          <t>Visibilité temps réel : CA, résultat, trésorerie</t>
        </is>
      </c>
      <c r="C2" s="9">
        <f>COUNTIF('Scénarios'!$B$2:$B$77,"1")</f>
        <v/>
      </c>
      <c r="D2" s="9">
        <f>COUNTIFS('Scénarios'!$B$2:$B$77,"1",'Scénarios'!$I$2:$I$77,"OK")</f>
        <v/>
      </c>
      <c r="E2" s="9">
        <f>COUNTIFS('Scénarios'!$B$2:$B$77,"1",'Scénarios'!$I$2:$I$77,"Réserve")</f>
        <v/>
      </c>
      <c r="F2" s="9">
        <f>COUNTIFS('Scénarios'!$B$2:$B$77,"1",'Scénarios'!$I$2:$I$77,"KO")</f>
        <v/>
      </c>
      <c r="G2" s="9">
        <f>C2-D2-E2-F2</f>
        <v/>
      </c>
    </row>
    <row r="3">
      <c r="A3" s="10" t="inlineStr">
        <is>
          <t>2</t>
        </is>
      </c>
      <c r="B3" s="10" t="inlineStr">
        <is>
          <t>Vue consolidée, multi-sociétés, décomposable</t>
        </is>
      </c>
      <c r="C3" s="10">
        <f>COUNTIF('Scénarios'!$B$2:$B$77,"2")</f>
        <v/>
      </c>
      <c r="D3" s="10">
        <f>COUNTIFS('Scénarios'!$B$2:$B$77,"2",'Scénarios'!$I$2:$I$77,"OK")</f>
        <v/>
      </c>
      <c r="E3" s="10">
        <f>COUNTIFS('Scénarios'!$B$2:$B$77,"2",'Scénarios'!$I$2:$I$77,"Réserve")</f>
        <v/>
      </c>
      <c r="F3" s="10">
        <f>COUNTIFS('Scénarios'!$B$2:$B$77,"2",'Scénarios'!$I$2:$I$77,"KO")</f>
        <v/>
      </c>
      <c r="G3" s="10">
        <f>C3-D3-E3-F3</f>
        <v/>
      </c>
    </row>
    <row r="4">
      <c r="A4" s="9" t="inlineStr">
        <is>
          <t>3</t>
        </is>
      </c>
      <c r="B4" s="9" t="inlineStr">
        <is>
          <t>Comptabilité SYSCOHADA révisé</t>
        </is>
      </c>
      <c r="C4" s="9">
        <f>COUNTIF('Scénarios'!$B$2:$B$77,"3")</f>
        <v/>
      </c>
      <c r="D4" s="9">
        <f>COUNTIFS('Scénarios'!$B$2:$B$77,"3",'Scénarios'!$I$2:$I$77,"OK")</f>
        <v/>
      </c>
      <c r="E4" s="9">
        <f>COUNTIFS('Scénarios'!$B$2:$B$77,"3",'Scénarios'!$I$2:$I$77,"Réserve")</f>
        <v/>
      </c>
      <c r="F4" s="9">
        <f>COUNTIFS('Scénarios'!$B$2:$B$77,"3",'Scénarios'!$I$2:$I$77,"KO")</f>
        <v/>
      </c>
      <c r="G4" s="9">
        <f>C4-D4-E4-F4</f>
        <v/>
      </c>
    </row>
    <row r="5">
      <c r="A5" s="10" t="inlineStr">
        <is>
          <t>4</t>
        </is>
      </c>
      <c r="B5" s="10" t="inlineStr">
        <is>
          <t>Analytique par centre de coût, chantier, activité</t>
        </is>
      </c>
      <c r="C5" s="10">
        <f>COUNTIF('Scénarios'!$B$2:$B$77,"4")</f>
        <v/>
      </c>
      <c r="D5" s="10">
        <f>COUNTIFS('Scénarios'!$B$2:$B$77,"4",'Scénarios'!$I$2:$I$77,"OK")</f>
        <v/>
      </c>
      <c r="E5" s="10">
        <f>COUNTIFS('Scénarios'!$B$2:$B$77,"4",'Scénarios'!$I$2:$I$77,"Réserve")</f>
        <v/>
      </c>
      <c r="F5" s="10">
        <f>COUNTIFS('Scénarios'!$B$2:$B$77,"4",'Scénarios'!$I$2:$I$77,"KO")</f>
        <v/>
      </c>
      <c r="G5" s="10">
        <f>C5-D5-E5-F5</f>
        <v/>
      </c>
    </row>
    <row r="6">
      <c r="A6" s="9" t="inlineStr">
        <is>
          <t>5</t>
        </is>
      </c>
      <c r="B6" s="9" t="inlineStr">
        <is>
          <t>Trésorerie et rapprochement bancaire</t>
        </is>
      </c>
      <c r="C6" s="9">
        <f>COUNTIF('Scénarios'!$B$2:$B$77,"5")</f>
        <v/>
      </c>
      <c r="D6" s="9">
        <f>COUNTIFS('Scénarios'!$B$2:$B$77,"5",'Scénarios'!$I$2:$I$77,"OK")</f>
        <v/>
      </c>
      <c r="E6" s="9">
        <f>COUNTIFS('Scénarios'!$B$2:$B$77,"5",'Scénarios'!$I$2:$I$77,"Réserve")</f>
        <v/>
      </c>
      <c r="F6" s="9">
        <f>COUNTIFS('Scénarios'!$B$2:$B$77,"5",'Scénarios'!$I$2:$I$77,"KO")</f>
        <v/>
      </c>
      <c r="G6" s="9">
        <f>C6-D6-E6-F6</f>
        <v/>
      </c>
    </row>
    <row r="7">
      <c r="A7" s="10" t="inlineStr">
        <is>
          <t>6</t>
        </is>
      </c>
      <c r="B7" s="10" t="inlineStr">
        <is>
          <t>Immobilisations et amortissements</t>
        </is>
      </c>
      <c r="C7" s="10">
        <f>COUNTIF('Scénarios'!$B$2:$B$77,"6")</f>
        <v/>
      </c>
      <c r="D7" s="10">
        <f>COUNTIFS('Scénarios'!$B$2:$B$77,"6",'Scénarios'!$I$2:$I$77,"OK")</f>
        <v/>
      </c>
      <c r="E7" s="10">
        <f>COUNTIFS('Scénarios'!$B$2:$B$77,"6",'Scénarios'!$I$2:$I$77,"Réserve")</f>
        <v/>
      </c>
      <c r="F7" s="10">
        <f>COUNTIFS('Scénarios'!$B$2:$B$77,"6",'Scénarios'!$I$2:$I$77,"KO")</f>
        <v/>
      </c>
      <c r="G7" s="10">
        <f>C7-D7-E7-F7</f>
        <v/>
      </c>
    </row>
    <row r="8">
      <c r="A8" s="9" t="inlineStr">
        <is>
          <t>7</t>
        </is>
      </c>
      <c r="B8" s="9" t="inlineStr">
        <is>
          <t>Budget, écarts réalisé et prévisionnel</t>
        </is>
      </c>
      <c r="C8" s="9">
        <f>COUNTIF('Scénarios'!$B$2:$B$77,"7")</f>
        <v/>
      </c>
      <c r="D8" s="9">
        <f>COUNTIFS('Scénarios'!$B$2:$B$77,"7",'Scénarios'!$I$2:$I$77,"OK")</f>
        <v/>
      </c>
      <c r="E8" s="9">
        <f>COUNTIFS('Scénarios'!$B$2:$B$77,"7",'Scénarios'!$I$2:$I$77,"Réserve")</f>
        <v/>
      </c>
      <c r="F8" s="9">
        <f>COUNTIFS('Scénarios'!$B$2:$B$77,"7",'Scénarios'!$I$2:$I$77,"KO")</f>
        <v/>
      </c>
      <c r="G8" s="9">
        <f>C8-D8-E8-F8</f>
        <v/>
      </c>
    </row>
    <row r="9">
      <c r="A9" s="10" t="inlineStr">
        <is>
          <t>8</t>
        </is>
      </c>
      <c r="B9" s="10" t="inlineStr">
        <is>
          <t>Facturation clients et fournisseurs</t>
        </is>
      </c>
      <c r="C9" s="10">
        <f>COUNTIF('Scénarios'!$B$2:$B$77,"8")</f>
        <v/>
      </c>
      <c r="D9" s="10">
        <f>COUNTIFS('Scénarios'!$B$2:$B$77,"8",'Scénarios'!$I$2:$I$77,"OK")</f>
        <v/>
      </c>
      <c r="E9" s="10">
        <f>COUNTIFS('Scénarios'!$B$2:$B$77,"8",'Scénarios'!$I$2:$I$77,"Réserve")</f>
        <v/>
      </c>
      <c r="F9" s="10">
        <f>COUNTIFS('Scénarios'!$B$2:$B$77,"8",'Scénarios'!$I$2:$I$77,"KO")</f>
        <v/>
      </c>
      <c r="G9" s="10">
        <f>C9-D9-E9-F9</f>
        <v/>
      </c>
    </row>
    <row r="10">
      <c r="A10" s="9" t="inlineStr">
        <is>
          <t>9</t>
        </is>
      </c>
      <c r="B10" s="9" t="inlineStr">
        <is>
          <t>Fiscalité, TVA, déclarations</t>
        </is>
      </c>
      <c r="C10" s="9">
        <f>COUNTIF('Scénarios'!$B$2:$B$77,"9")</f>
        <v/>
      </c>
      <c r="D10" s="9">
        <f>COUNTIFS('Scénarios'!$B$2:$B$77,"9",'Scénarios'!$I$2:$I$77,"OK")</f>
        <v/>
      </c>
      <c r="E10" s="9">
        <f>COUNTIFS('Scénarios'!$B$2:$B$77,"9",'Scénarios'!$I$2:$I$77,"Réserve")</f>
        <v/>
      </c>
      <c r="F10" s="9">
        <f>COUNTIFS('Scénarios'!$B$2:$B$77,"9",'Scénarios'!$I$2:$I$77,"KO")</f>
        <v/>
      </c>
      <c r="G10" s="9">
        <f>C10-D10-E10-F10</f>
        <v/>
      </c>
    </row>
    <row r="11">
      <c r="A11" s="10" t="inlineStr">
        <is>
          <t>10</t>
        </is>
      </c>
      <c r="B11" s="10" t="inlineStr">
        <is>
          <t>Approbation des engagements et paiements</t>
        </is>
      </c>
      <c r="C11" s="10">
        <f>COUNTIF('Scénarios'!$B$2:$B$77,"10")</f>
        <v/>
      </c>
      <c r="D11" s="10">
        <f>COUNTIFS('Scénarios'!$B$2:$B$77,"10",'Scénarios'!$I$2:$I$77,"OK")</f>
        <v/>
      </c>
      <c r="E11" s="10">
        <f>COUNTIFS('Scénarios'!$B$2:$B$77,"10",'Scénarios'!$I$2:$I$77,"Réserve")</f>
        <v/>
      </c>
      <c r="F11" s="10">
        <f>COUNTIFS('Scénarios'!$B$2:$B$77,"10",'Scénarios'!$I$2:$I$77,"KO")</f>
        <v/>
      </c>
      <c r="G11" s="10">
        <f>C11-D11-E11-F11</f>
        <v/>
      </c>
    </row>
    <row r="12">
      <c r="A12" s="9" t="inlineStr">
        <is>
          <t>11</t>
        </is>
      </c>
      <c r="B12" s="9" t="inlineStr">
        <is>
          <t>Coûts et rentabilité transport</t>
        </is>
      </c>
      <c r="C12" s="9">
        <f>COUNTIF('Scénarios'!$B$2:$B$77,"11")</f>
        <v/>
      </c>
      <c r="D12" s="9">
        <f>COUNTIFS('Scénarios'!$B$2:$B$77,"11",'Scénarios'!$I$2:$I$77,"OK")</f>
        <v/>
      </c>
      <c r="E12" s="9">
        <f>COUNTIFS('Scénarios'!$B$2:$B$77,"11",'Scénarios'!$I$2:$I$77,"Réserve")</f>
        <v/>
      </c>
      <c r="F12" s="9">
        <f>COUNTIFS('Scénarios'!$B$2:$B$77,"11",'Scénarios'!$I$2:$I$77,"KO")</f>
        <v/>
      </c>
      <c r="G12" s="9">
        <f>C12-D12-E12-F12</f>
        <v/>
      </c>
    </row>
    <row r="13">
      <c r="A13" s="10" t="inlineStr">
        <is>
          <t>12</t>
        </is>
      </c>
      <c r="B13" s="10" t="inlineStr">
        <is>
          <t>Chantiers, avancement, retenues</t>
        </is>
      </c>
      <c r="C13" s="10">
        <f>COUNTIF('Scénarios'!$B$2:$B$77,"12")</f>
        <v/>
      </c>
      <c r="D13" s="10">
        <f>COUNTIFS('Scénarios'!$B$2:$B$77,"12",'Scénarios'!$I$2:$I$77,"OK")</f>
        <v/>
      </c>
      <c r="E13" s="10">
        <f>COUNTIFS('Scénarios'!$B$2:$B$77,"12",'Scénarios'!$I$2:$I$77,"Réserve")</f>
        <v/>
      </c>
      <c r="F13" s="10">
        <f>COUNTIFS('Scénarios'!$B$2:$B$77,"12",'Scénarios'!$I$2:$I$77,"KO")</f>
        <v/>
      </c>
      <c r="G13" s="10">
        <f>C13-D13-E13-F13</f>
        <v/>
      </c>
    </row>
    <row r="14">
      <c r="A14" s="9" t="inlineStr">
        <is>
          <t>13</t>
        </is>
      </c>
      <c r="B14" s="9" t="inlineStr">
        <is>
          <t>Gestion locative et patrimoine</t>
        </is>
      </c>
      <c r="C14" s="9">
        <f>COUNTIF('Scénarios'!$B$2:$B$77,"13")</f>
        <v/>
      </c>
      <c r="D14" s="9">
        <f>COUNTIFS('Scénarios'!$B$2:$B$77,"13",'Scénarios'!$I$2:$I$77,"OK")</f>
        <v/>
      </c>
      <c r="E14" s="9">
        <f>COUNTIFS('Scénarios'!$B$2:$B$77,"13",'Scénarios'!$I$2:$I$77,"Réserve")</f>
        <v/>
      </c>
      <c r="F14" s="9">
        <f>COUNTIFS('Scénarios'!$B$2:$B$77,"13",'Scénarios'!$I$2:$I$77,"KO")</f>
        <v/>
      </c>
      <c r="G14" s="9">
        <f>C14-D14-E14-F14</f>
        <v/>
      </c>
    </row>
    <row r="15">
      <c r="A15" s="10" t="inlineStr">
        <is>
          <t>14</t>
        </is>
      </c>
      <c r="B15" s="10" t="inlineStr">
        <is>
          <t>Traçabilité, piste d'audit</t>
        </is>
      </c>
      <c r="C15" s="10">
        <f>COUNTIF('Scénarios'!$B$2:$B$77,"14")</f>
        <v/>
      </c>
      <c r="D15" s="10">
        <f>COUNTIFS('Scénarios'!$B$2:$B$77,"14",'Scénarios'!$I$2:$I$77,"OK")</f>
        <v/>
      </c>
      <c r="E15" s="10">
        <f>COUNTIFS('Scénarios'!$B$2:$B$77,"14",'Scénarios'!$I$2:$I$77,"Réserve")</f>
        <v/>
      </c>
      <c r="F15" s="10">
        <f>COUNTIFS('Scénarios'!$B$2:$B$77,"14",'Scénarios'!$I$2:$I$77,"KO")</f>
        <v/>
      </c>
      <c r="G15" s="10">
        <f>C15-D15-E15-F15</f>
        <v/>
      </c>
    </row>
    <row r="16">
      <c r="A16" s="9" t="inlineStr">
        <is>
          <t>15</t>
        </is>
      </c>
      <c r="B16" s="9" t="inlineStr">
        <is>
          <t>Sécurité des accès par profil</t>
        </is>
      </c>
      <c r="C16" s="9">
        <f>COUNTIF('Scénarios'!$B$2:$B$77,"15")</f>
        <v/>
      </c>
      <c r="D16" s="9">
        <f>COUNTIFS('Scénarios'!$B$2:$B$77,"15",'Scénarios'!$I$2:$I$77,"OK")</f>
        <v/>
      </c>
      <c r="E16" s="9">
        <f>COUNTIFS('Scénarios'!$B$2:$B$77,"15",'Scénarios'!$I$2:$I$77,"Réserve")</f>
        <v/>
      </c>
      <c r="F16" s="9">
        <f>COUNTIFS('Scénarios'!$B$2:$B$77,"15",'Scénarios'!$I$2:$I$77,"KO")</f>
        <v/>
      </c>
      <c r="G16" s="9">
        <f>C16-D16-E16-F16</f>
        <v/>
      </c>
    </row>
    <row r="17">
      <c r="A17" s="10" t="inlineStr">
        <is>
          <t>16</t>
        </is>
      </c>
      <c r="B17" s="10" t="inlineStr">
        <is>
          <t>Disponibilité et sauvegardes</t>
        </is>
      </c>
      <c r="C17" s="10">
        <f>COUNTIF('Scénarios'!$B$2:$B$77,"16")</f>
        <v/>
      </c>
      <c r="D17" s="10">
        <f>COUNTIFS('Scénarios'!$B$2:$B$77,"16",'Scénarios'!$I$2:$I$77,"OK")</f>
        <v/>
      </c>
      <c r="E17" s="10">
        <f>COUNTIFS('Scénarios'!$B$2:$B$77,"16",'Scénarios'!$I$2:$I$77,"Réserve")</f>
        <v/>
      </c>
      <c r="F17" s="10">
        <f>COUNTIFS('Scénarios'!$B$2:$B$77,"16",'Scénarios'!$I$2:$I$77,"KO")</f>
        <v/>
      </c>
      <c r="G17" s="10">
        <f>C17-D17-E17-F17</f>
        <v/>
      </c>
    </row>
    <row r="18">
      <c r="A18" s="9" t="inlineStr">
        <is>
          <t>17</t>
        </is>
      </c>
      <c r="B18" s="9" t="inlineStr">
        <is>
          <t>Interface simple et formation</t>
        </is>
      </c>
      <c r="C18" s="9">
        <f>COUNTIF('Scénarios'!$B$2:$B$77,"17")</f>
        <v/>
      </c>
      <c r="D18" s="9">
        <f>COUNTIFS('Scénarios'!$B$2:$B$77,"17",'Scénarios'!$I$2:$I$77,"OK")</f>
        <v/>
      </c>
      <c r="E18" s="9">
        <f>COUNTIFS('Scénarios'!$B$2:$B$77,"17",'Scénarios'!$I$2:$I$77,"Réserve")</f>
        <v/>
      </c>
      <c r="F18" s="9">
        <f>COUNTIFS('Scénarios'!$B$2:$B$77,"17",'Scénarios'!$I$2:$I$77,"KO")</f>
        <v/>
      </c>
      <c r="G18" s="9">
        <f>C18-D18-E18-F18</f>
        <v/>
      </c>
    </row>
    <row r="19">
      <c r="A19" s="10" t="inlineStr">
        <is>
          <t>18</t>
        </is>
      </c>
      <c r="B19" s="10" t="inlineStr">
        <is>
          <t>Support et accompagnement</t>
        </is>
      </c>
      <c r="C19" s="10">
        <f>COUNTIF('Scénarios'!$B$2:$B$77,"18")</f>
        <v/>
      </c>
      <c r="D19" s="10">
        <f>COUNTIFS('Scénarios'!$B$2:$B$77,"18",'Scénarios'!$I$2:$I$77,"OK")</f>
        <v/>
      </c>
      <c r="E19" s="10">
        <f>COUNTIFS('Scénarios'!$B$2:$B$77,"18",'Scénarios'!$I$2:$I$77,"Réserve")</f>
        <v/>
      </c>
      <c r="F19" s="10">
        <f>COUNTIFS('Scénarios'!$B$2:$B$77,"18",'Scénarios'!$I$2:$I$77,"KO")</f>
        <v/>
      </c>
      <c r="G19" s="10">
        <f>C19-D19-E19-F19</f>
        <v/>
      </c>
    </row>
    <row r="20">
      <c r="A20" s="9" t="inlineStr">
        <is>
          <t>19</t>
        </is>
      </c>
      <c r="B20" s="9" t="inlineStr">
        <is>
          <t>Solution évolutive</t>
        </is>
      </c>
      <c r="C20" s="9">
        <f>COUNTIF('Scénarios'!$B$2:$B$77,"19")</f>
        <v/>
      </c>
      <c r="D20" s="9">
        <f>COUNTIFS('Scénarios'!$B$2:$B$77,"19",'Scénarios'!$I$2:$I$77,"OK")</f>
        <v/>
      </c>
      <c r="E20" s="9">
        <f>COUNTIFS('Scénarios'!$B$2:$B$77,"19",'Scénarios'!$I$2:$I$77,"Réserve")</f>
        <v/>
      </c>
      <c r="F20" s="9">
        <f>COUNTIFS('Scénarios'!$B$2:$B$77,"19",'Scénarios'!$I$2:$I$77,"KO")</f>
        <v/>
      </c>
      <c r="G20" s="9">
        <f>C20-D20-E20-F20</f>
        <v/>
      </c>
    </row>
    <row r="21">
      <c r="A21" s="10" t="inlineStr">
        <is>
          <t>AX</t>
        </is>
      </c>
      <c r="B21" s="10" t="inlineStr">
        <is>
          <t>AxisPro Suite et portail des porteurs</t>
        </is>
      </c>
      <c r="C21" s="10">
        <f>COUNTIF('Scénarios'!$B$2:$B$77,"AX")</f>
        <v/>
      </c>
      <c r="D21" s="10">
        <f>COUNTIFS('Scénarios'!$B$2:$B$77,"AX",'Scénarios'!$I$2:$I$77,"OK")</f>
        <v/>
      </c>
      <c r="E21" s="10">
        <f>COUNTIFS('Scénarios'!$B$2:$B$77,"AX",'Scénarios'!$I$2:$I$77,"Réserve")</f>
        <v/>
      </c>
      <c r="F21" s="10">
        <f>COUNTIFS('Scénarios'!$B$2:$B$77,"AX",'Scénarios'!$I$2:$I$77,"KO")</f>
        <v/>
      </c>
      <c r="G21" s="10">
        <f>C21-D21-E21-F21</f>
        <v/>
      </c>
    </row>
    <row r="22">
      <c r="B22" s="11" t="inlineStr">
        <is>
          <t>Total</t>
        </is>
      </c>
      <c r="C22" s="12">
        <f>SUM(C2:C21)</f>
        <v/>
      </c>
      <c r="D22" s="12">
        <f>SUM(D2:D21)</f>
        <v/>
      </c>
      <c r="E22" s="12">
        <f>SUM(E2:E21)</f>
        <v/>
      </c>
      <c r="F22" s="12">
        <f>SUM(F2:F21)</f>
        <v/>
      </c>
      <c r="G22" s="12">
        <f>SUM(G2:G21)</f>
        <v/>
      </c>
    </row>
    <row r="24">
      <c r="B24" s="13" t="inlineStr">
        <is>
          <t>Attente 20 (tarification claire) : vérifiée sur l'offre, sans scénario.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E-VOLUTION XP</dc:creator>
  <dc:title xmlns:dc="http://purl.org/dc/elements/1.1/">Cahier de recette EGUITRA Finance et AxisPro Suite</dc:title>
  <dcterms:created xmlns:dcterms="http://purl.org/dc/terms/" xmlns:xsi="http://www.w3.org/2001/XMLSchema-instance" xsi:type="dcterms:W3CDTF">2026-10-22T00:18:09Z</dcterms:created>
  <dcterms:modified xmlns:dcterms="http://purl.org/dc/terms/" xmlns:xsi="http://www.w3.org/2001/XMLSchema-instance" xsi:type="dcterms:W3CDTF">2026-10-22T00:18:09Z</dcterms:modified>
</cp:coreProperties>
</file>