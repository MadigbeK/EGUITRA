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'Scénarios'!$A$1:$L$62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 Consulting,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 Consulting.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 ou XLSX).</t>
        </is>
      </c>
      <c r="F15" s="7" t="inlineStr">
        <is>
          <t>Relevé d'un mois</t>
        </is>
      </c>
      <c r="G15" s="7" t="inlineStr">
        <is>
          <t>Lignes importées, doublons refusés, solde conforme au relevé.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 (backup/restore-test.sh --target … --report).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 ; disponibilité du mois écoulé calculée (availability-report.py).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 selon la procédure de support.</t>
        </is>
      </c>
      <c r="F46" s="6" t="inlineStr">
        <is>
          <t>Procédure de support remise</t>
        </is>
      </c>
      <c r="G46" s="6" t="inlineStr">
        <is>
          <t>Accusé de réception, gravité confirmée, 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Ajouter une fonction ou un module du noyau selon le dossier technique, l'installer en recette, la faire valider, la mettre en production.</t>
        </is>
      </c>
      <c r="F47" s="7" t="inlineStr">
        <is>
          <t>Dossier technique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R49</t>
        </is>
      </c>
      <c r="B50" s="6" t="inlineStr">
        <is>
          <t>13</t>
        </is>
      </c>
      <c r="C50" s="6" t="inlineStr">
        <is>
          <t>Immobilier</t>
        </is>
      </c>
      <c r="D50" s="6" t="inlineStr">
        <is>
          <t>Immobilier &gt; Biens et baux</t>
        </is>
      </c>
      <c r="E50" s="6" t="inlineStr">
        <is>
          <t>Mettre fin à un bail ; revenir le lendemain ; modifier la valeur actuelle d'un bien.</t>
        </is>
      </c>
      <c r="F50" s="6" t="inlineStr">
        <is>
          <t>Bail en cours</t>
        </is>
      </c>
      <c r="G50" s="6" t="inlineStr">
        <is>
          <t>Loyers dus jusqu'à la fin émis, plus aucun ensuite ; bien libre ; valeur et rendement du patrimoine mis à jour.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R50</t>
        </is>
      </c>
      <c r="B51" s="7" t="inlineStr">
        <is>
          <t>14</t>
        </is>
      </c>
      <c r="C51" s="7" t="inlineStr">
        <is>
          <t>Finance</t>
        </is>
      </c>
      <c r="D51" s="7" t="inlineStr">
        <is>
          <t>Clôtures et contrôles</t>
        </is>
      </c>
      <c r="E51" s="7" t="inlineStr">
        <is>
          <t>Après une clôture mensuelle, consulter les contrôles d'intégrité.</t>
        </is>
      </c>
      <c r="F51" s="7" t="inlineStr">
        <is>
          <t>Mois clôturé</t>
        </is>
      </c>
      <c r="G51" s="7" t="inlineStr">
        <is>
          <t>Contrôles du mois écoulé et chaînage « Intactes » pour chaque journal verrouillé.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A01</t>
        </is>
      </c>
      <c r="B52" s="6" t="inlineStr">
        <is>
          <t>AX</t>
        </is>
      </c>
      <c r="C52" s="6" t="inlineStr">
        <is>
          <t>Cabinet</t>
        </is>
      </c>
      <c r="D52" s="6" t="inlineStr">
        <is>
          <t>AxisPro &gt; Grille d'évaluation</t>
        </is>
      </c>
      <c r="E52" s="6" t="inlineStr">
        <is>
          <t>Importer la grille officielle ; la vérifier ; la mettre en vigueur.</t>
        </is>
      </c>
      <c r="F52" s="6" t="inlineStr">
        <is>
          <t>Classeur du cabinet</t>
        </is>
      </c>
      <c r="G52" s="6" t="inlineStr">
        <is>
          <t>8 gates et leurs règles, 15 domaines, 111 critères (9 knock-outs), 42 pièces et 102 rattachements chargés ; version en vigueur.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A02</t>
        </is>
      </c>
      <c r="B53" s="7" t="inlineStr">
        <is>
          <t>AX</t>
        </is>
      </c>
      <c r="C53" s="7" t="inlineStr">
        <is>
          <t>Cabinet</t>
        </is>
      </c>
      <c r="D53" s="7" t="inlineStr">
        <is>
          <t>AxisPro &gt; Dossiers</t>
        </is>
      </c>
      <c r="E53" s="7" t="inlineStr">
        <is>
          <t>Ouvrir un dossier.</t>
        </is>
      </c>
      <c r="F53" s="7" t="inlineStr">
        <is>
          <t>Projet réel anonymisé</t>
        </is>
      </c>
      <c r="G53" s="7" t="inlineStr">
        <is>
          <t>Référence attribuée ; critères du premier gate à évaluer.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A03</t>
        </is>
      </c>
      <c r="B54" s="6" t="inlineStr">
        <is>
          <t>AX</t>
        </is>
      </c>
      <c r="C54" s="6" t="inlineStr">
        <is>
          <t>Cabinet</t>
        </is>
      </c>
      <c r="D54" s="6" t="inlineStr">
        <is>
          <t>Dossier &gt; Évaluation</t>
        </is>
      </c>
      <c r="E54" s="6" t="inlineStr">
        <is>
          <t>Évaluer les critères en saisie guidée ; déclarer disponible un knock-out sans pièce, puis lui joindre une preuve avec sa date de validité.</t>
        </is>
      </c>
      <c r="F54" s="6" t="inlineStr">
        <is>
          <t>—</t>
        </is>
      </c>
      <c r="G54" s="6" t="inlineStr">
        <is>
          <t>Sans pièce, critère retenu « incomplet » (saisie inchangée) ; avec la preuve, retenu disponible ; Readiness, APD et Bankability recalculés ; pièce de la data room disponible.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A04</t>
        </is>
      </c>
      <c r="B55" s="7" t="inlineStr">
        <is>
          <t>AX</t>
        </is>
      </c>
      <c r="C55" s="7" t="inlineStr">
        <is>
          <t>Cabinet</t>
        </is>
      </c>
      <c r="D55" s="7" t="inlineStr">
        <is>
          <t>Dossier &gt; Synthèse</t>
        </is>
      </c>
      <c r="E55" s="7" t="inlineStr">
        <is>
          <t>Contrôler les knock-outs et les actions prioritaires ; passer au gate suivant ; forcer un passage refusé avec un motif.</t>
        </is>
      </c>
      <c r="F55" s="7" t="inlineStr">
        <is>
          <t>—</t>
        </is>
      </c>
      <c r="G55" s="7" t="inlineStr">
        <is>
          <t>NO-GO si un knock-out est actif ; passage refusé avec ses motifs ; passage forcé inscrit au journal.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A05</t>
        </is>
      </c>
      <c r="B56" s="6" t="inlineStr">
        <is>
          <t>AX</t>
        </is>
      </c>
      <c r="C56" s="6" t="inlineStr">
        <is>
          <t>Cabinet</t>
        </is>
      </c>
      <c r="D56" s="6" t="inlineStr">
        <is>
          <t>Dossier &gt; Comités</t>
        </is>
      </c>
      <c r="E56" s="6" t="inlineStr">
        <is>
          <t>Sceller et verrouiller une décision HOLD motivée ; vérifier l'empreinte ; tenter de modifier le dossier ; ouvrir une nouvelle révision ; comparer deux revues.</t>
        </is>
      </c>
      <c r="F56" s="6" t="inlineStr">
        <is>
          <t>—</t>
        </is>
      </c>
      <c r="G56" s="6" t="inlineStr">
        <is>
          <t>Décision non modifiable, empreinte valide ; dossier figé jusqu'à la nouvelle révision ; comparaison des scores, gates et domaines.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A06</t>
        </is>
      </c>
      <c r="B57" s="7" t="inlineStr">
        <is>
          <t>AX</t>
        </is>
      </c>
      <c r="C57" s="7" t="inlineStr">
        <is>
          <t>Cabinet</t>
        </is>
      </c>
      <c r="D57" s="7" t="inlineStr">
        <is>
          <t>Dossier &gt; Rapport</t>
        </is>
      </c>
      <c r="E57" s="7" t="inlineStr">
        <is>
          <t>Télécharger le rapport du comité (PDF), le classeur d'évaluation, la fiche d'évaluation (la modifier puis la réimporter), la data room (.zip) et les pièces à fournir.</t>
        </is>
      </c>
      <c r="F57" s="7" t="inlineStr">
        <is>
          <t>—</t>
        </is>
      </c>
      <c r="G57" s="7" t="inlineStr">
        <is>
          <t>Politique appliquée et empreinte rappelées ; classeur au plan du modèle du cabinet ; import précédé d'un aperçu des changements.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A07</t>
        </is>
      </c>
      <c r="B58" s="6" t="inlineStr">
        <is>
          <t>AX</t>
        </is>
      </c>
      <c r="C58" s="6" t="inlineStr">
        <is>
          <t>Cabinet</t>
        </is>
      </c>
      <c r="D58" s="6" t="inlineStr">
        <is>
          <t>Dossier &gt; Temps et facturation</t>
        </is>
      </c>
      <c r="E58" s="6" t="inlineStr">
        <is>
          <t>Saisir des temps ; facturer les honoraires.</t>
        </is>
      </c>
      <c r="F58" s="6" t="inlineStr">
        <is>
          <t>Taux horaire</t>
        </is>
      </c>
      <c r="G58" s="6" t="inlineStr">
        <is>
          <t>Facture d'honoraires en brouillon dans la comptabilité du cabinet.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A08</t>
        </is>
      </c>
      <c r="B59" s="7" t="inlineStr">
        <is>
          <t>AX</t>
        </is>
      </c>
      <c r="C59" s="7" t="inlineStr">
        <is>
          <t>Porteur de projet</t>
        </is>
      </c>
      <c r="D59" s="7" t="inlineStr">
        <is>
          <t>Portail</t>
        </is>
      </c>
      <c r="E59" s="7" t="inlineStr">
        <is>
          <t>Première connexion ; déposer une pièce ; écrire au cabinet.</t>
        </is>
      </c>
      <c r="F59" s="7" t="inlineStr">
        <is>
          <t>Accès ouvert par le cabinet</t>
        </is>
      </c>
      <c r="G59" s="7" t="inlineStr">
        <is>
          <t>Pièce visible du cabinet ; notes internes du cabinet invisibles du porteur.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A09</t>
        </is>
      </c>
      <c r="B60" s="6" t="inlineStr">
        <is>
          <t>AX</t>
        </is>
      </c>
      <c r="C60" s="6" t="inlineStr">
        <is>
          <t>Cabinet</t>
        </is>
      </c>
      <c r="D60" s="6" t="inlineStr">
        <is>
          <t>Dossier &gt; Data room</t>
        </is>
      </c>
      <c r="E60" s="6" t="inlineStr">
        <is>
          <t>Valider une pièce ; en refuser une autre avec un motif.</t>
        </is>
      </c>
      <c r="F60" s="6" t="inlineStr">
        <is>
          <t>—</t>
        </is>
      </c>
      <c r="G60" s="6" t="inlineStr">
        <is>
          <t>Le porteur voit l'état de chaque pièce et le motif du refus.</t>
        </is>
      </c>
      <c r="H60" s="6" t="inlineStr"/>
      <c r="I60" s="6" t="inlineStr"/>
      <c r="J60" s="6" t="inlineStr"/>
      <c r="K60" s="6" t="inlineStr"/>
      <c r="L60" s="6" t="inlineStr"/>
    </row>
    <row r="61">
      <c r="A61" s="7" t="inlineStr">
        <is>
          <t>A10</t>
        </is>
      </c>
      <c r="B61" s="7" t="inlineStr">
        <is>
          <t>AX</t>
        </is>
      </c>
      <c r="C61" s="7" t="inlineStr">
        <is>
          <t>Porteur de projet</t>
        </is>
      </c>
      <c r="D61" s="7" t="inlineStr">
        <is>
          <t>Portail &gt; Pièces</t>
        </is>
      </c>
      <c r="E61" s="7" t="inlineStr">
        <is>
          <t>Déposer un programme renommé en .pdf, puis un document Word à macros.</t>
        </is>
      </c>
      <c r="F61" s="7" t="inlineStr">
        <is>
          <t>Fichiers d'essai fournis par le prestataire</t>
        </is>
      </c>
      <c r="G61" s="7" t="inlineStr">
        <is>
          <t>Dépôts refusés, formats acceptés rappelés (PDF, JPEG, PNG, DOCX, XLSX).</t>
        </is>
      </c>
      <c r="H61" s="7" t="inlineStr"/>
      <c r="I61" s="7" t="inlineStr"/>
      <c r="J61" s="7" t="inlineStr"/>
      <c r="K61" s="7" t="inlineStr"/>
      <c r="L61" s="7" t="inlineStr"/>
    </row>
    <row r="62">
      <c r="A62" s="6" t="inlineStr">
        <is>
          <t>A11</t>
        </is>
      </c>
      <c r="B62" s="6" t="inlineStr">
        <is>
          <t>AX</t>
        </is>
      </c>
      <c r="C62" s="6" t="inlineStr">
        <is>
          <t>Direction (société du groupe seule)</t>
        </is>
      </c>
      <c r="D62" s="6" t="inlineStr">
        <is>
          <t>AxisPro Suite</t>
        </is>
      </c>
      <c r="E62" s="6" t="inlineStr">
        <is>
          <t>Ouvrir AxisPro Suite avec un compte de direction ouvert à la seule société du groupe.</t>
        </is>
      </c>
      <c r="F62" s="6" t="inlineStr">
        <is>
          <t>—</t>
        </is>
      </c>
      <c r="G62" s="6" t="inlineStr">
        <is>
          <t>Aucun dossier, aucune pièce, revue ni grille du cabinet visible.</t>
        </is>
      </c>
      <c r="H62" s="6" t="inlineStr"/>
      <c r="I62" s="6" t="inlineStr"/>
      <c r="J62" s="6" t="inlineStr"/>
      <c r="K62" s="6" t="inlineStr"/>
      <c r="L62" s="6" t="inlineStr"/>
    </row>
  </sheetData>
  <autoFilter ref="A1:L62"/>
  <dataValidations count="1">
    <dataValidation sqref="I2:I62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COUNTIF('Scénarios'!$B$2:$B$62,"1")</f>
        <v/>
      </c>
      <c r="D2" s="9">
        <f>COUNTIFS('Scénarios'!$B$2:$B$62,"1",'Scénarios'!$I$2:$I$62,"OK")</f>
        <v/>
      </c>
      <c r="E2" s="9">
        <f>COUNTIFS('Scénarios'!$B$2:$B$62,"1",'Scénarios'!$I$2:$I$62,"Réserve")</f>
        <v/>
      </c>
      <c r="F2" s="9">
        <f>COUNTIFS('Scénarios'!$B$2:$B$62,"1",'Scénarios'!$I$2:$I$62,"KO")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COUNTIF('Scénarios'!$B$2:$B$62,"2")</f>
        <v/>
      </c>
      <c r="D3" s="10">
        <f>COUNTIFS('Scénarios'!$B$2:$B$62,"2",'Scénarios'!$I$2:$I$62,"OK")</f>
        <v/>
      </c>
      <c r="E3" s="10">
        <f>COUNTIFS('Scénarios'!$B$2:$B$62,"2",'Scénarios'!$I$2:$I$62,"Réserve")</f>
        <v/>
      </c>
      <c r="F3" s="10">
        <f>COUNTIFS('Scénarios'!$B$2:$B$62,"2",'Scénarios'!$I$2:$I$62,"KO")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COUNTIF('Scénarios'!$B$2:$B$62,"3")</f>
        <v/>
      </c>
      <c r="D4" s="9">
        <f>COUNTIFS('Scénarios'!$B$2:$B$62,"3",'Scénarios'!$I$2:$I$62,"OK")</f>
        <v/>
      </c>
      <c r="E4" s="9">
        <f>COUNTIFS('Scénarios'!$B$2:$B$62,"3",'Scénarios'!$I$2:$I$62,"Réserve")</f>
        <v/>
      </c>
      <c r="F4" s="9">
        <f>COUNTIFS('Scénarios'!$B$2:$B$62,"3",'Scénarios'!$I$2:$I$62,"KO")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COUNTIF('Scénarios'!$B$2:$B$62,"4")</f>
        <v/>
      </c>
      <c r="D5" s="10">
        <f>COUNTIFS('Scénarios'!$B$2:$B$62,"4",'Scénarios'!$I$2:$I$62,"OK")</f>
        <v/>
      </c>
      <c r="E5" s="10">
        <f>COUNTIFS('Scénarios'!$B$2:$B$62,"4",'Scénarios'!$I$2:$I$62,"Réserve")</f>
        <v/>
      </c>
      <c r="F5" s="10">
        <f>COUNTIFS('Scénarios'!$B$2:$B$62,"4",'Scénarios'!$I$2:$I$62,"KO")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COUNTIF('Scénarios'!$B$2:$B$62,"5")</f>
        <v/>
      </c>
      <c r="D6" s="9">
        <f>COUNTIFS('Scénarios'!$B$2:$B$62,"5",'Scénarios'!$I$2:$I$62,"OK")</f>
        <v/>
      </c>
      <c r="E6" s="9">
        <f>COUNTIFS('Scénarios'!$B$2:$B$62,"5",'Scénarios'!$I$2:$I$62,"Réserve")</f>
        <v/>
      </c>
      <c r="F6" s="9">
        <f>COUNTIFS('Scénarios'!$B$2:$B$62,"5",'Scénarios'!$I$2:$I$62,"KO")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COUNTIF('Scénarios'!$B$2:$B$62,"6")</f>
        <v/>
      </c>
      <c r="D7" s="10">
        <f>COUNTIFS('Scénarios'!$B$2:$B$62,"6",'Scénarios'!$I$2:$I$62,"OK")</f>
        <v/>
      </c>
      <c r="E7" s="10">
        <f>COUNTIFS('Scénarios'!$B$2:$B$62,"6",'Scénarios'!$I$2:$I$62,"Réserve")</f>
        <v/>
      </c>
      <c r="F7" s="10">
        <f>COUNTIFS('Scénarios'!$B$2:$B$62,"6",'Scénarios'!$I$2:$I$62,"KO")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COUNTIF('Scénarios'!$B$2:$B$62,"7")</f>
        <v/>
      </c>
      <c r="D8" s="9">
        <f>COUNTIFS('Scénarios'!$B$2:$B$62,"7",'Scénarios'!$I$2:$I$62,"OK")</f>
        <v/>
      </c>
      <c r="E8" s="9">
        <f>COUNTIFS('Scénarios'!$B$2:$B$62,"7",'Scénarios'!$I$2:$I$62,"Réserve")</f>
        <v/>
      </c>
      <c r="F8" s="9">
        <f>COUNTIFS('Scénarios'!$B$2:$B$62,"7",'Scénarios'!$I$2:$I$62,"KO")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COUNTIF('Scénarios'!$B$2:$B$62,"8")</f>
        <v/>
      </c>
      <c r="D9" s="10">
        <f>COUNTIFS('Scénarios'!$B$2:$B$62,"8",'Scénarios'!$I$2:$I$62,"OK")</f>
        <v/>
      </c>
      <c r="E9" s="10">
        <f>COUNTIFS('Scénarios'!$B$2:$B$62,"8",'Scénarios'!$I$2:$I$62,"Réserve")</f>
        <v/>
      </c>
      <c r="F9" s="10">
        <f>COUNTIFS('Scénarios'!$B$2:$B$62,"8",'Scénarios'!$I$2:$I$62,"KO")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COUNTIF('Scénarios'!$B$2:$B$62,"9")</f>
        <v/>
      </c>
      <c r="D10" s="9">
        <f>COUNTIFS('Scénarios'!$B$2:$B$62,"9",'Scénarios'!$I$2:$I$62,"OK")</f>
        <v/>
      </c>
      <c r="E10" s="9">
        <f>COUNTIFS('Scénarios'!$B$2:$B$62,"9",'Scénarios'!$I$2:$I$62,"Réserve")</f>
        <v/>
      </c>
      <c r="F10" s="9">
        <f>COUNTIFS('Scénarios'!$B$2:$B$62,"9",'Scénarios'!$I$2:$I$62,"KO")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COUNTIF('Scénarios'!$B$2:$B$62,"10")</f>
        <v/>
      </c>
      <c r="D11" s="10">
        <f>COUNTIFS('Scénarios'!$B$2:$B$62,"10",'Scénarios'!$I$2:$I$62,"OK")</f>
        <v/>
      </c>
      <c r="E11" s="10">
        <f>COUNTIFS('Scénarios'!$B$2:$B$62,"10",'Scénarios'!$I$2:$I$62,"Réserve")</f>
        <v/>
      </c>
      <c r="F11" s="10">
        <f>COUNTIFS('Scénarios'!$B$2:$B$62,"10",'Scénarios'!$I$2:$I$62,"KO")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COUNTIF('Scénarios'!$B$2:$B$62,"11")</f>
        <v/>
      </c>
      <c r="D12" s="9">
        <f>COUNTIFS('Scénarios'!$B$2:$B$62,"11",'Scénarios'!$I$2:$I$62,"OK")</f>
        <v/>
      </c>
      <c r="E12" s="9">
        <f>COUNTIFS('Scénarios'!$B$2:$B$62,"11",'Scénarios'!$I$2:$I$62,"Réserve")</f>
        <v/>
      </c>
      <c r="F12" s="9">
        <f>COUNTIFS('Scénarios'!$B$2:$B$62,"11",'Scénarios'!$I$2:$I$62,"KO")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COUNTIF('Scénarios'!$B$2:$B$62,"12")</f>
        <v/>
      </c>
      <c r="D13" s="10">
        <f>COUNTIFS('Scénarios'!$B$2:$B$62,"12",'Scénarios'!$I$2:$I$62,"OK")</f>
        <v/>
      </c>
      <c r="E13" s="10">
        <f>COUNTIFS('Scénarios'!$B$2:$B$62,"12",'Scénarios'!$I$2:$I$62,"Réserve")</f>
        <v/>
      </c>
      <c r="F13" s="10">
        <f>COUNTIFS('Scénarios'!$B$2:$B$62,"12",'Scénarios'!$I$2:$I$62,"KO")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COUNTIF('Scénarios'!$B$2:$B$62,"13")</f>
        <v/>
      </c>
      <c r="D14" s="9">
        <f>COUNTIFS('Scénarios'!$B$2:$B$62,"13",'Scénarios'!$I$2:$I$62,"OK")</f>
        <v/>
      </c>
      <c r="E14" s="9">
        <f>COUNTIFS('Scénarios'!$B$2:$B$62,"13",'Scénarios'!$I$2:$I$62,"Réserve")</f>
        <v/>
      </c>
      <c r="F14" s="9">
        <f>COUNTIFS('Scénarios'!$B$2:$B$62,"13",'Scénarios'!$I$2:$I$62,"KO")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COUNTIF('Scénarios'!$B$2:$B$62,"14")</f>
        <v/>
      </c>
      <c r="D15" s="10">
        <f>COUNTIFS('Scénarios'!$B$2:$B$62,"14",'Scénarios'!$I$2:$I$62,"OK")</f>
        <v/>
      </c>
      <c r="E15" s="10">
        <f>COUNTIFS('Scénarios'!$B$2:$B$62,"14",'Scénarios'!$I$2:$I$62,"Réserve")</f>
        <v/>
      </c>
      <c r="F15" s="10">
        <f>COUNTIFS('Scénarios'!$B$2:$B$62,"14",'Scénarios'!$I$2:$I$62,"KO")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COUNTIF('Scénarios'!$B$2:$B$62,"15")</f>
        <v/>
      </c>
      <c r="D16" s="9">
        <f>COUNTIFS('Scénarios'!$B$2:$B$62,"15",'Scénarios'!$I$2:$I$62,"OK")</f>
        <v/>
      </c>
      <c r="E16" s="9">
        <f>COUNTIFS('Scénarios'!$B$2:$B$62,"15",'Scénarios'!$I$2:$I$62,"Réserve")</f>
        <v/>
      </c>
      <c r="F16" s="9">
        <f>COUNTIFS('Scénarios'!$B$2:$B$62,"15",'Scénarios'!$I$2:$I$62,"KO")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COUNTIF('Scénarios'!$B$2:$B$62,"16")</f>
        <v/>
      </c>
      <c r="D17" s="10">
        <f>COUNTIFS('Scénarios'!$B$2:$B$62,"16",'Scénarios'!$I$2:$I$62,"OK")</f>
        <v/>
      </c>
      <c r="E17" s="10">
        <f>COUNTIFS('Scénarios'!$B$2:$B$62,"16",'Scénarios'!$I$2:$I$62,"Réserve")</f>
        <v/>
      </c>
      <c r="F17" s="10">
        <f>COUNTIFS('Scénarios'!$B$2:$B$62,"16",'Scénarios'!$I$2:$I$62,"KO")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COUNTIF('Scénarios'!$B$2:$B$62,"17")</f>
        <v/>
      </c>
      <c r="D18" s="9">
        <f>COUNTIFS('Scénarios'!$B$2:$B$62,"17",'Scénarios'!$I$2:$I$62,"OK")</f>
        <v/>
      </c>
      <c r="E18" s="9">
        <f>COUNTIFS('Scénarios'!$B$2:$B$62,"17",'Scénarios'!$I$2:$I$62,"Réserve")</f>
        <v/>
      </c>
      <c r="F18" s="9">
        <f>COUNTIFS('Scénarios'!$B$2:$B$62,"17",'Scénarios'!$I$2:$I$62,"KO")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COUNTIF('Scénarios'!$B$2:$B$62,"18")</f>
        <v/>
      </c>
      <c r="D19" s="10">
        <f>COUNTIFS('Scénarios'!$B$2:$B$62,"18",'Scénarios'!$I$2:$I$62,"OK")</f>
        <v/>
      </c>
      <c r="E19" s="10">
        <f>COUNTIFS('Scénarios'!$B$2:$B$62,"18",'Scénarios'!$I$2:$I$62,"Réserve")</f>
        <v/>
      </c>
      <c r="F19" s="10">
        <f>COUNTIFS('Scénarios'!$B$2:$B$62,"18",'Scénarios'!$I$2:$I$62,"KO")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COUNTIF('Scénarios'!$B$2:$B$62,"19")</f>
        <v/>
      </c>
      <c r="D20" s="9">
        <f>COUNTIFS('Scénarios'!$B$2:$B$62,"19",'Scénarios'!$I$2:$I$62,"OK")</f>
        <v/>
      </c>
      <c r="E20" s="9">
        <f>COUNTIFS('Scénarios'!$B$2:$B$62,"19",'Scénarios'!$I$2:$I$62,"Réserve")</f>
        <v/>
      </c>
      <c r="F20" s="9">
        <f>COUNTIFS('Scénarios'!$B$2:$B$62,"19",'Scénarios'!$I$2:$I$62,"KO")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COUNTIF('Scénarios'!$B$2:$B$62,"AX")</f>
        <v/>
      </c>
      <c r="D21" s="10">
        <f>COUNTIFS('Scénarios'!$B$2:$B$62,"AX",'Scénarios'!$I$2:$I$62,"OK")</f>
        <v/>
      </c>
      <c r="E21" s="10">
        <f>COUNTIFS('Scénarios'!$B$2:$B$62,"AX",'Scénarios'!$I$2:$I$62,"Réserve")</f>
        <v/>
      </c>
      <c r="F21" s="10">
        <f>COUNTIFS('Scénarios'!$B$2:$B$62,"AX",'Scénarios'!$I$2:$I$62,"KO")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2026-10-17T12:40:42Z</dcterms:created>
  <dcterms:modified xmlns:dcterms="http://purl.org/dc/terms/" xmlns:xsi="http://www.w3.org/2001/XMLSchema-instance" xsi:type="dcterms:W3CDTF">2026-10-17T12:40:42Z</dcterms:modified>
</cp:coreProperties>
</file>