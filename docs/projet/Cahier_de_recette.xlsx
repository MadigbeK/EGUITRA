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'Scénarios'!$A$1:$L$74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 Consulting,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 Consulting.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(CSV, XLSX ou camt.053 XML) ; réimporter le même fichier.</t>
        </is>
      </c>
      <c r="F15" s="7" t="inlineStr">
        <is>
          <t>Relevé d'un mois</t>
        </is>
      </c>
      <c r="G15" s="7" t="inlineStr">
        <is>
          <t>Lignes importées, soldes initial et final lus et contrôlés (écart refusé sauf confirmation), doublons ignorés à la réimportation.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 (backup/restore-test.sh --target … --report).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 ; disponibilité du mois écoulé calculée (availability-report.py).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 selon la procédure de support.</t>
        </is>
      </c>
      <c r="F46" s="6" t="inlineStr">
        <is>
          <t>Procédure de support remise</t>
        </is>
      </c>
      <c r="G46" s="6" t="inlineStr">
        <is>
          <t>Accusé de réception, gravité confirmée, 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Ajouter une fonction ou un module du noyau selon le dossier technique, l'installer en recette, la faire valider, la mettre en production.</t>
        </is>
      </c>
      <c r="F47" s="7" t="inlineStr">
        <is>
          <t>Dossier technique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R49</t>
        </is>
      </c>
      <c r="B50" s="6" t="inlineStr">
        <is>
          <t>13</t>
        </is>
      </c>
      <c r="C50" s="6" t="inlineStr">
        <is>
          <t>Immobilier</t>
        </is>
      </c>
      <c r="D50" s="6" t="inlineStr">
        <is>
          <t>Immobilier &gt; Biens et baux</t>
        </is>
      </c>
      <c r="E50" s="6" t="inlineStr">
        <is>
          <t>Mettre fin à un bail ; revenir le lendemain ; modifier la valeur actuelle d'un bien.</t>
        </is>
      </c>
      <c r="F50" s="6" t="inlineStr">
        <is>
          <t>Bail en cours</t>
        </is>
      </c>
      <c r="G50" s="6" t="inlineStr">
        <is>
          <t>Loyers dus jusqu'à la fin émis, plus aucun ensuite ; bien libre ; valeur et rendement du patrimoine mis à jour.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R50</t>
        </is>
      </c>
      <c r="B51" s="7" t="inlineStr">
        <is>
          <t>14</t>
        </is>
      </c>
      <c r="C51" s="7" t="inlineStr">
        <is>
          <t>Finance</t>
        </is>
      </c>
      <c r="D51" s="7" t="inlineStr">
        <is>
          <t>Clôtures et contrôles</t>
        </is>
      </c>
      <c r="E51" s="7" t="inlineStr">
        <is>
          <t>Après une clôture mensuelle, consulter les contrôles d'intégrité.</t>
        </is>
      </c>
      <c r="F51" s="7" t="inlineStr">
        <is>
          <t>Mois clôturé</t>
        </is>
      </c>
      <c r="G51" s="7" t="inlineStr">
        <is>
          <t>Contrôles du mois écoulé et chaînage « Intactes » pour chaque journal verrouillé.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R51</t>
        </is>
      </c>
      <c r="B52" s="6" t="inlineStr">
        <is>
          <t>2</t>
        </is>
      </c>
      <c r="C52" s="6" t="inlineStr">
        <is>
          <t>Direction</t>
        </is>
      </c>
      <c r="D52" s="6" t="inlineStr">
        <is>
          <t>Balance et états &gt; Consolidé du groupe</t>
        </is>
      </c>
      <c r="E52" s="6" t="inlineStr">
        <is>
          <t>Facturer une prestation d'une société du groupe à l'autre ; afficher le consolidé de l'exercice.</t>
        </is>
      </c>
      <c r="F52" s="6" t="inlineStr">
        <is>
          <t>Facture intra-groupe</t>
        </is>
      </c>
      <c r="G52" s="6" t="inlineStr">
        <is>
          <t>Compte de résultat et bilan par société ; la vente et l'achat réciproques, la créance et la dette s'éliminent ; colonne Groupe = somme des sociétés − éliminations.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R52</t>
        </is>
      </c>
      <c r="B53" s="7" t="inlineStr">
        <is>
          <t>1</t>
        </is>
      </c>
      <c r="C53" s="7" t="inlineStr">
        <is>
          <t>Direction</t>
        </is>
      </c>
      <c r="D53" s="7" t="inlineStr">
        <is>
          <t>Finance &gt; Tableau de bord</t>
        </is>
      </c>
      <c r="E53" s="7" t="inlineStr">
        <is>
          <t>Choisir une date d'arrêté ; lire les onze questions du dirigeant et le bloc « Ce qui demande une décision » ; imprimer.</t>
        </is>
      </c>
      <c r="F53" s="7" t="inlineStr">
        <is>
          <t>Données reprises</t>
        </is>
      </c>
      <c r="G53" s="7" t="inlineStr">
        <is>
          <t>Chaque question a sa réponse, son verdict (vert, orange, rouge) et sa lecture ; décisions reliées aux alertes.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R53</t>
        </is>
      </c>
      <c r="B54" s="6" t="inlineStr">
        <is>
          <t>1</t>
        </is>
      </c>
      <c r="C54" s="6" t="inlineStr">
        <is>
          <t>Finance</t>
        </is>
      </c>
      <c r="D54" s="6" t="inlineStr">
        <is>
          <t>Pilotage &gt; Alertes</t>
        </is>
      </c>
      <c r="E54" s="6" t="inlineStr">
        <is>
          <t>Afficher toutes les règles, conformes comprises ; modifier un seuil (DSCR, délai de recouvrement).</t>
        </is>
      </c>
      <c r="F54" s="6" t="inlineStr">
        <is>
          <t>—</t>
        </is>
      </c>
      <c r="G54" s="6" t="inlineStr">
        <is>
          <t>Gravité, valeur, seuil et action recommandée pour chaque règle ; seuil laissé à zéro signalé en vigilance.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R54</t>
        </is>
      </c>
      <c r="B55" s="7" t="inlineStr">
        <is>
          <t>4</t>
        </is>
      </c>
      <c r="C55" s="7" t="inlineStr">
        <is>
          <t>Finance</t>
        </is>
      </c>
      <c r="D55" s="7" t="inlineStr">
        <is>
          <t>Achats et dépenses</t>
        </is>
      </c>
      <c r="E55" s="7" t="inlineStr">
        <is>
          <t>Saisir une dépense par sa catégorie, sur deux axes (activité et ensemble routier).</t>
        </is>
      </c>
      <c r="F55" s="7" t="inlineStr">
        <is>
          <t>Catégorie Carburant</t>
        </is>
      </c>
      <c r="G55" s="7" t="inlineStr">
        <is>
          <t>Compte de charge, compte du fournisseur et TVA déduits de la catégorie ; ventilation analytique sur les deux axes.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R55</t>
        </is>
      </c>
      <c r="B56" s="6" t="inlineStr">
        <is>
          <t>7</t>
        </is>
      </c>
      <c r="C56" s="6" t="inlineStr">
        <is>
          <t>Finance</t>
        </is>
      </c>
      <c r="D56" s="6" t="inlineStr">
        <is>
          <t>Activités et budget &gt; Budget</t>
        </is>
      </c>
      <c r="E56" s="6" t="inlineStr">
        <is>
          <t>Importer le budget par ligne budgétaire (XLSX) ; comparer au réalisé et aux engagements.</t>
        </is>
      </c>
      <c r="F56" s="6" t="inlineStr">
        <is>
          <t>Budget 2026 du classeur</t>
        </is>
      </c>
      <c r="G56" s="6" t="inlineStr">
        <is>
          <t>Budget cumulé, réalisé, engagé, disponible, écart et statut (dépassement, conforme, sous-réalisation) par ligne.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R56</t>
        </is>
      </c>
      <c r="B57" s="7" t="inlineStr">
        <is>
          <t>10</t>
        </is>
      </c>
      <c r="C57" s="7" t="inlineStr">
        <is>
          <t>Chantiers puis finance et direction</t>
        </is>
      </c>
      <c r="D57" s="7" t="inlineStr">
        <is>
          <t>Engagements</t>
        </is>
      </c>
      <c r="E57" s="7" t="inlineStr">
        <is>
          <t>Créer un engagement de dépense de 60 M GNF avec son devis ; le faire approuver ; saisir ensuite la facture du fournisseur.</t>
        </is>
      </c>
      <c r="F57" s="7" t="inlineStr">
        <is>
          <t>Devis joint</t>
        </is>
      </c>
      <c r="G57" s="7" t="inlineStr">
        <is>
          <t>Engagement approuvé par la finance puis la direction ; la facture consomme l'engagement sans refaire le circuit ; reste à engager à jour.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R57</t>
        </is>
      </c>
      <c r="B58" s="6" t="inlineStr">
        <is>
          <t>10</t>
        </is>
      </c>
      <c r="C58" s="6" t="inlineStr">
        <is>
          <t>Finance puis direction</t>
        </is>
      </c>
      <c r="D58" s="6" t="inlineStr">
        <is>
          <t>Trésorerie</t>
        </is>
      </c>
      <c r="E58" s="6" t="inlineStr">
        <is>
          <t>Saisir une sortie de banque de 150 M GNF ; tenter de la comptabiliser.</t>
        </is>
      </c>
      <c r="F58" s="6" t="inlineStr">
        <is>
          <t>—</t>
        </is>
      </c>
      <c r="G58" s="6" t="inlineStr">
        <is>
          <t>Opération en brouillon jusqu'à l'accord de la direction, comptabilisée à la dernière approbation.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R58</t>
        </is>
      </c>
      <c r="B59" s="7" t="inlineStr">
        <is>
          <t>3</t>
        </is>
      </c>
      <c r="C59" s="7" t="inlineStr">
        <is>
          <t>Finance</t>
        </is>
      </c>
      <c r="D59" s="7" t="inlineStr">
        <is>
          <t>Clôtures et contrôles &gt; Clôture mensuelle</t>
        </is>
      </c>
      <c r="E59" s="7" t="inlineStr">
        <is>
          <t>Clôturer un mois complet.</t>
        </is>
      </c>
      <c r="F59" s="7" t="inlineStr">
        <is>
          <t>Mois repris</t>
        </is>
      </c>
      <c r="G59" s="7" t="inlineStr">
        <is>
          <t>Dotations, liquidation de la TVA (pièce TVA du mois), factures à établir des rotations non facturées (extournées le mois suivant), sceau et procès-verbal imprimé.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R59</t>
        </is>
      </c>
      <c r="B60" s="6" t="inlineStr">
        <is>
          <t>3</t>
        </is>
      </c>
      <c r="C60" s="6" t="inlineStr">
        <is>
          <t>Finance et responsable financier</t>
        </is>
      </c>
      <c r="D60" s="6" t="inlineStr">
        <is>
          <t>Clôtures et contrôles &gt; Validation de la reprise</t>
        </is>
      </c>
      <c r="E60" s="6" t="inlineStr">
        <is>
          <t>Charger les valeurs de référence du classeur ; lancer le contrôle ; imprimer l'annexe.</t>
        </is>
      </c>
      <c r="F60" s="6" t="inlineStr">
        <is>
          <t>Valeurs de référence du classeur</t>
        </is>
      </c>
      <c r="G60" s="6" t="inlineStr">
        <is>
          <t>26 indicateurs recalculés, écart de chacun ; « 26/26 » conformes attendu avant la bascule ; annexe jointe au procès-verbal de bascule.</t>
        </is>
      </c>
      <c r="H60" s="6" t="inlineStr"/>
      <c r="I60" s="6" t="inlineStr"/>
      <c r="J60" s="6" t="inlineStr"/>
      <c r="K60" s="6" t="inlineStr"/>
      <c r="L60" s="6" t="inlineStr"/>
    </row>
    <row r="61">
      <c r="A61" s="7" t="inlineStr">
        <is>
          <t>R60</t>
        </is>
      </c>
      <c r="B61" s="7" t="inlineStr">
        <is>
          <t>11</t>
        </is>
      </c>
      <c r="C61" s="7" t="inlineStr">
        <is>
          <t>Direction</t>
        </is>
      </c>
      <c r="D61" s="7" t="inlineStr">
        <is>
          <t>Transport &gt; Rentabilité</t>
        </is>
      </c>
      <c r="E61" s="7" t="inlineStr">
        <is>
          <t>Afficher la rentabilité par ensemble routier avec les charges de structure ; contrôler les manquants d'une rotation.</t>
        </is>
      </c>
      <c r="F61" s="7" t="inlineStr">
        <is>
          <t>Rotations reprises</t>
        </is>
      </c>
      <c r="G61" s="7" t="inlineStr">
        <is>
          <t>Coût et CA au km, structure, résultat net par ensemble ; manquant toléré, excédentaire déduit ou imputé au chauffeur ; taxes spécifiques au barème.</t>
        </is>
      </c>
      <c r="H61" s="7" t="inlineStr"/>
      <c r="I61" s="7" t="inlineStr"/>
      <c r="J61" s="7" t="inlineStr"/>
      <c r="K61" s="7" t="inlineStr"/>
      <c r="L61" s="7" t="inlineStr"/>
    </row>
    <row r="62">
      <c r="A62" s="6" t="inlineStr">
        <is>
          <t>R61</t>
        </is>
      </c>
      <c r="B62" s="6" t="inlineStr">
        <is>
          <t>9</t>
        </is>
      </c>
      <c r="C62" s="6" t="inlineStr">
        <is>
          <t>Finance</t>
        </is>
      </c>
      <c r="D62" s="6" t="inlineStr">
        <is>
          <t>Fiscalité</t>
        </is>
      </c>
      <c r="E62" s="6" t="inlineStr">
        <is>
          <t>Saisir une facture fournisseur soumise à retenue à la source ; consulter la déclaration du mois.</t>
        </is>
      </c>
      <c r="F62" s="6" t="inlineStr">
        <is>
          <t>Prestataire non résident ou retenue BIC</t>
        </is>
      </c>
      <c r="G62" s="6" t="inlineStr">
        <is>
          <t>Retenue calculée et portée au compte de l'État ; déclaration et historique à jour.</t>
        </is>
      </c>
      <c r="H62" s="6" t="inlineStr"/>
      <c r="I62" s="6" t="inlineStr"/>
      <c r="J62" s="6" t="inlineStr"/>
      <c r="K62" s="6" t="inlineStr"/>
      <c r="L62" s="6" t="inlineStr"/>
    </row>
    <row r="63">
      <c r="A63" s="7" t="inlineStr">
        <is>
          <t>R62</t>
        </is>
      </c>
      <c r="B63" s="7" t="inlineStr">
        <is>
          <t>5</t>
        </is>
      </c>
      <c r="C63" s="7" t="inlineStr">
        <is>
          <t>Finance</t>
        </is>
      </c>
      <c r="D63" s="7" t="inlineStr">
        <is>
          <t>Pilotage &gt; Trésorerie</t>
        </is>
      </c>
      <c r="E63" s="7" t="inlineStr">
        <is>
          <t>Afficher les flux mensuels et la prévision ; régler une échéance d'emprunt depuis une ligne de relevé.</t>
        </is>
      </c>
      <c r="F63" s="7" t="inlineStr">
        <is>
          <t>Emprunt repris</t>
        </is>
      </c>
      <c r="G63" s="7" t="inlineStr">
        <is>
          <t>Encaissements, décaissements, cash net et solde par mois face au seuil ; échéance proposée au rapprochement, capital et intérêts comptabilisés une seule fois.</t>
        </is>
      </c>
      <c r="H63" s="7" t="inlineStr"/>
      <c r="I63" s="7" t="inlineStr"/>
      <c r="J63" s="7" t="inlineStr"/>
      <c r="K63" s="7" t="inlineStr"/>
      <c r="L63" s="7" t="inlineStr"/>
    </row>
    <row r="64">
      <c r="A64" s="6" t="inlineStr">
        <is>
          <t>A01</t>
        </is>
      </c>
      <c r="B64" s="6" t="inlineStr">
        <is>
          <t>AX</t>
        </is>
      </c>
      <c r="C64" s="6" t="inlineStr">
        <is>
          <t>Cabinet</t>
        </is>
      </c>
      <c r="D64" s="6" t="inlineStr">
        <is>
          <t>AxisPro &gt; Grille d'évaluation</t>
        </is>
      </c>
      <c r="E64" s="6" t="inlineStr">
        <is>
          <t>Importer la grille officielle ; la vérifier ; la mettre en vigueur.</t>
        </is>
      </c>
      <c r="F64" s="6" t="inlineStr">
        <is>
          <t>Classeur du cabinet</t>
        </is>
      </c>
      <c r="G64" s="6" t="inlineStr">
        <is>
          <t>8 gates et leurs règles, 15 domaines, 111 critères (9 knock-outs), 42 pièces et 102 rattachements chargés ; version en vigueur.</t>
        </is>
      </c>
      <c r="H64" s="6" t="inlineStr"/>
      <c r="I64" s="6" t="inlineStr"/>
      <c r="J64" s="6" t="inlineStr"/>
      <c r="K64" s="6" t="inlineStr"/>
      <c r="L64" s="6" t="inlineStr"/>
    </row>
    <row r="65">
      <c r="A65" s="7" t="inlineStr">
        <is>
          <t>A02</t>
        </is>
      </c>
      <c r="B65" s="7" t="inlineStr">
        <is>
          <t>AX</t>
        </is>
      </c>
      <c r="C65" s="7" t="inlineStr">
        <is>
          <t>Cabinet</t>
        </is>
      </c>
      <c r="D65" s="7" t="inlineStr">
        <is>
          <t>AxisPro &gt; Dossiers</t>
        </is>
      </c>
      <c r="E65" s="7" t="inlineStr">
        <is>
          <t>Ouvrir un dossier.</t>
        </is>
      </c>
      <c r="F65" s="7" t="inlineStr">
        <is>
          <t>Projet réel anonymisé</t>
        </is>
      </c>
      <c r="G65" s="7" t="inlineStr">
        <is>
          <t>Référence attribuée ; critères du premier gate à évaluer.</t>
        </is>
      </c>
      <c r="H65" s="7" t="inlineStr"/>
      <c r="I65" s="7" t="inlineStr"/>
      <c r="J65" s="7" t="inlineStr"/>
      <c r="K65" s="7" t="inlineStr"/>
      <c r="L65" s="7" t="inlineStr"/>
    </row>
    <row r="66">
      <c r="A66" s="6" t="inlineStr">
        <is>
          <t>A03</t>
        </is>
      </c>
      <c r="B66" s="6" t="inlineStr">
        <is>
          <t>AX</t>
        </is>
      </c>
      <c r="C66" s="6" t="inlineStr">
        <is>
          <t>Cabinet</t>
        </is>
      </c>
      <c r="D66" s="6" t="inlineStr">
        <is>
          <t>Dossier &gt; Évaluation</t>
        </is>
      </c>
      <c r="E66" s="6" t="inlineStr">
        <is>
          <t>Évaluer les critères en saisie guidée ; déclarer disponible un knock-out sans pièce, puis lui joindre une preuve avec sa date de validité.</t>
        </is>
      </c>
      <c r="F66" s="6" t="inlineStr">
        <is>
          <t>—</t>
        </is>
      </c>
      <c r="G66" s="6" t="inlineStr">
        <is>
          <t>Sans pièce, critère retenu « incomplet » (saisie inchangée) ; avec la preuve, retenu disponible ; Readiness, APD et Bankability recalculés ; pièce de la data room disponible.</t>
        </is>
      </c>
      <c r="H66" s="6" t="inlineStr"/>
      <c r="I66" s="6" t="inlineStr"/>
      <c r="J66" s="6" t="inlineStr"/>
      <c r="K66" s="6" t="inlineStr"/>
      <c r="L66" s="6" t="inlineStr"/>
    </row>
    <row r="67">
      <c r="A67" s="7" t="inlineStr">
        <is>
          <t>A04</t>
        </is>
      </c>
      <c r="B67" s="7" t="inlineStr">
        <is>
          <t>AX</t>
        </is>
      </c>
      <c r="C67" s="7" t="inlineStr">
        <is>
          <t>Cabinet</t>
        </is>
      </c>
      <c r="D67" s="7" t="inlineStr">
        <is>
          <t>Dossier &gt; Synthèse</t>
        </is>
      </c>
      <c r="E67" s="7" t="inlineStr">
        <is>
          <t>Contrôler les knock-outs et les actions prioritaires ; passer au gate suivant ; forcer un passage refusé avec un motif.</t>
        </is>
      </c>
      <c r="F67" s="7" t="inlineStr">
        <is>
          <t>—</t>
        </is>
      </c>
      <c r="G67" s="7" t="inlineStr">
        <is>
          <t>NO-GO si un knock-out est actif ; passage refusé avec ses motifs ; passage forcé inscrit au journal.</t>
        </is>
      </c>
      <c r="H67" s="7" t="inlineStr"/>
      <c r="I67" s="7" t="inlineStr"/>
      <c r="J67" s="7" t="inlineStr"/>
      <c r="K67" s="7" t="inlineStr"/>
      <c r="L67" s="7" t="inlineStr"/>
    </row>
    <row r="68">
      <c r="A68" s="6" t="inlineStr">
        <is>
          <t>A05</t>
        </is>
      </c>
      <c r="B68" s="6" t="inlineStr">
        <is>
          <t>AX</t>
        </is>
      </c>
      <c r="C68" s="6" t="inlineStr">
        <is>
          <t>Cabinet</t>
        </is>
      </c>
      <c r="D68" s="6" t="inlineStr">
        <is>
          <t>Dossier &gt; Comités</t>
        </is>
      </c>
      <c r="E68" s="6" t="inlineStr">
        <is>
          <t>Sceller et verrouiller une décision HOLD motivée ; vérifier l'empreinte ; tenter de modifier le dossier ; ouvrir une nouvelle révision ; comparer deux revues.</t>
        </is>
      </c>
      <c r="F68" s="6" t="inlineStr">
        <is>
          <t>—</t>
        </is>
      </c>
      <c r="G68" s="6" t="inlineStr">
        <is>
          <t>Décision non modifiable, empreinte valide ; dossier figé jusqu'à la nouvelle révision ; comparaison des scores, gates et domaines.</t>
        </is>
      </c>
      <c r="H68" s="6" t="inlineStr"/>
      <c r="I68" s="6" t="inlineStr"/>
      <c r="J68" s="6" t="inlineStr"/>
      <c r="K68" s="6" t="inlineStr"/>
      <c r="L68" s="6" t="inlineStr"/>
    </row>
    <row r="69">
      <c r="A69" s="7" t="inlineStr">
        <is>
          <t>A06</t>
        </is>
      </c>
      <c r="B69" s="7" t="inlineStr">
        <is>
          <t>AX</t>
        </is>
      </c>
      <c r="C69" s="7" t="inlineStr">
        <is>
          <t>Cabinet</t>
        </is>
      </c>
      <c r="D69" s="7" t="inlineStr">
        <is>
          <t>Dossier &gt; Rapport</t>
        </is>
      </c>
      <c r="E69" s="7" t="inlineStr">
        <is>
          <t>Télécharger le rapport du comité (PDF), le classeur d'évaluation, la fiche d'évaluation (la modifier puis la réimporter), la data room (.zip) et les pièces à fournir.</t>
        </is>
      </c>
      <c r="F69" s="7" t="inlineStr">
        <is>
          <t>—</t>
        </is>
      </c>
      <c r="G69" s="7" t="inlineStr">
        <is>
          <t>Politique appliquée et empreinte rappelées ; classeur au plan du modèle du cabinet ; import précédé d'un aperçu des changements.</t>
        </is>
      </c>
      <c r="H69" s="7" t="inlineStr"/>
      <c r="I69" s="7" t="inlineStr"/>
      <c r="J69" s="7" t="inlineStr"/>
      <c r="K69" s="7" t="inlineStr"/>
      <c r="L69" s="7" t="inlineStr"/>
    </row>
    <row r="70">
      <c r="A70" s="6" t="inlineStr">
        <is>
          <t>A07</t>
        </is>
      </c>
      <c r="B70" s="6" t="inlineStr">
        <is>
          <t>AX</t>
        </is>
      </c>
      <c r="C70" s="6" t="inlineStr">
        <is>
          <t>Cabinet</t>
        </is>
      </c>
      <c r="D70" s="6" t="inlineStr">
        <is>
          <t>Dossier &gt; Temps et facturation</t>
        </is>
      </c>
      <c r="E70" s="6" t="inlineStr">
        <is>
          <t>Saisir des temps ; facturer les honoraires.</t>
        </is>
      </c>
      <c r="F70" s="6" t="inlineStr">
        <is>
          <t>Taux horaire</t>
        </is>
      </c>
      <c r="G70" s="6" t="inlineStr">
        <is>
          <t>Facture d'honoraires en brouillon dans la comptabilité du cabinet.</t>
        </is>
      </c>
      <c r="H70" s="6" t="inlineStr"/>
      <c r="I70" s="6" t="inlineStr"/>
      <c r="J70" s="6" t="inlineStr"/>
      <c r="K70" s="6" t="inlineStr"/>
      <c r="L70" s="6" t="inlineStr"/>
    </row>
    <row r="71">
      <c r="A71" s="7" t="inlineStr">
        <is>
          <t>A08</t>
        </is>
      </c>
      <c r="B71" s="7" t="inlineStr">
        <is>
          <t>AX</t>
        </is>
      </c>
      <c r="C71" s="7" t="inlineStr">
        <is>
          <t>Porteur de projet</t>
        </is>
      </c>
      <c r="D71" s="7" t="inlineStr">
        <is>
          <t>Portail</t>
        </is>
      </c>
      <c r="E71" s="7" t="inlineStr">
        <is>
          <t>Première connexion ; déposer une pièce ; écrire au cabinet.</t>
        </is>
      </c>
      <c r="F71" s="7" t="inlineStr">
        <is>
          <t>Accès ouvert par le cabinet</t>
        </is>
      </c>
      <c r="G71" s="7" t="inlineStr">
        <is>
          <t>Pièce visible du cabinet ; notes internes du cabinet invisibles du porteur.</t>
        </is>
      </c>
      <c r="H71" s="7" t="inlineStr"/>
      <c r="I71" s="7" t="inlineStr"/>
      <c r="J71" s="7" t="inlineStr"/>
      <c r="K71" s="7" t="inlineStr"/>
      <c r="L71" s="7" t="inlineStr"/>
    </row>
    <row r="72">
      <c r="A72" s="6" t="inlineStr">
        <is>
          <t>A09</t>
        </is>
      </c>
      <c r="B72" s="6" t="inlineStr">
        <is>
          <t>AX</t>
        </is>
      </c>
      <c r="C72" s="6" t="inlineStr">
        <is>
          <t>Cabinet</t>
        </is>
      </c>
      <c r="D72" s="6" t="inlineStr">
        <is>
          <t>Dossier &gt; Data room</t>
        </is>
      </c>
      <c r="E72" s="6" t="inlineStr">
        <is>
          <t>Valider une pièce ; en refuser une autre avec un motif.</t>
        </is>
      </c>
      <c r="F72" s="6" t="inlineStr">
        <is>
          <t>—</t>
        </is>
      </c>
      <c r="G72" s="6" t="inlineStr">
        <is>
          <t>Le porteur voit l'état de chaque pièce et le motif du refus.</t>
        </is>
      </c>
      <c r="H72" s="6" t="inlineStr"/>
      <c r="I72" s="6" t="inlineStr"/>
      <c r="J72" s="6" t="inlineStr"/>
      <c r="K72" s="6" t="inlineStr"/>
      <c r="L72" s="6" t="inlineStr"/>
    </row>
    <row r="73">
      <c r="A73" s="7" t="inlineStr">
        <is>
          <t>A10</t>
        </is>
      </c>
      <c r="B73" s="7" t="inlineStr">
        <is>
          <t>AX</t>
        </is>
      </c>
      <c r="C73" s="7" t="inlineStr">
        <is>
          <t>Porteur de projet</t>
        </is>
      </c>
      <c r="D73" s="7" t="inlineStr">
        <is>
          <t>Portail &gt; Pièces</t>
        </is>
      </c>
      <c r="E73" s="7" t="inlineStr">
        <is>
          <t>Déposer un programme renommé en .pdf, puis un document Word à macros.</t>
        </is>
      </c>
      <c r="F73" s="7" t="inlineStr">
        <is>
          <t>Fichiers d'essai fournis par le prestataire</t>
        </is>
      </c>
      <c r="G73" s="7" t="inlineStr">
        <is>
          <t>Dépôts refusés, formats acceptés rappelés (PDF, JPEG, PNG, DOCX, XLSX).</t>
        </is>
      </c>
      <c r="H73" s="7" t="inlineStr"/>
      <c r="I73" s="7" t="inlineStr"/>
      <c r="J73" s="7" t="inlineStr"/>
      <c r="K73" s="7" t="inlineStr"/>
      <c r="L73" s="7" t="inlineStr"/>
    </row>
    <row r="74">
      <c r="A74" s="6" t="inlineStr">
        <is>
          <t>A11</t>
        </is>
      </c>
      <c r="B74" s="6" t="inlineStr">
        <is>
          <t>AX</t>
        </is>
      </c>
      <c r="C74" s="6" t="inlineStr">
        <is>
          <t>Direction (société du groupe seule)</t>
        </is>
      </c>
      <c r="D74" s="6" t="inlineStr">
        <is>
          <t>AxisPro Suite</t>
        </is>
      </c>
      <c r="E74" s="6" t="inlineStr">
        <is>
          <t>Ouvrir AxisPro Suite avec un compte de direction ouvert à la seule société du groupe.</t>
        </is>
      </c>
      <c r="F74" s="6" t="inlineStr">
        <is>
          <t>—</t>
        </is>
      </c>
      <c r="G74" s="6" t="inlineStr">
        <is>
          <t>Aucun dossier, aucune pièce, revue ni grille du cabinet visible.</t>
        </is>
      </c>
      <c r="H74" s="6" t="inlineStr"/>
      <c r="I74" s="6" t="inlineStr"/>
      <c r="J74" s="6" t="inlineStr"/>
      <c r="K74" s="6" t="inlineStr"/>
      <c r="L74" s="6" t="inlineStr"/>
    </row>
  </sheetData>
  <autoFilter ref="A1:L74"/>
  <dataValidations count="1">
    <dataValidation sqref="I2:I74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COUNTIF('Scénarios'!$B$2:$B$74,"1")</f>
        <v/>
      </c>
      <c r="D2" s="9">
        <f>COUNTIFS('Scénarios'!$B$2:$B$74,"1",'Scénarios'!$I$2:$I$74,"OK")</f>
        <v/>
      </c>
      <c r="E2" s="9">
        <f>COUNTIFS('Scénarios'!$B$2:$B$74,"1",'Scénarios'!$I$2:$I$74,"Réserve")</f>
        <v/>
      </c>
      <c r="F2" s="9">
        <f>COUNTIFS('Scénarios'!$B$2:$B$74,"1",'Scénarios'!$I$2:$I$74,"KO")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COUNTIF('Scénarios'!$B$2:$B$74,"2")</f>
        <v/>
      </c>
      <c r="D3" s="10">
        <f>COUNTIFS('Scénarios'!$B$2:$B$74,"2",'Scénarios'!$I$2:$I$74,"OK")</f>
        <v/>
      </c>
      <c r="E3" s="10">
        <f>COUNTIFS('Scénarios'!$B$2:$B$74,"2",'Scénarios'!$I$2:$I$74,"Réserve")</f>
        <v/>
      </c>
      <c r="F3" s="10">
        <f>COUNTIFS('Scénarios'!$B$2:$B$74,"2",'Scénarios'!$I$2:$I$74,"KO")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COUNTIF('Scénarios'!$B$2:$B$74,"3")</f>
        <v/>
      </c>
      <c r="D4" s="9">
        <f>COUNTIFS('Scénarios'!$B$2:$B$74,"3",'Scénarios'!$I$2:$I$74,"OK")</f>
        <v/>
      </c>
      <c r="E4" s="9">
        <f>COUNTIFS('Scénarios'!$B$2:$B$74,"3",'Scénarios'!$I$2:$I$74,"Réserve")</f>
        <v/>
      </c>
      <c r="F4" s="9">
        <f>COUNTIFS('Scénarios'!$B$2:$B$74,"3",'Scénarios'!$I$2:$I$74,"KO")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COUNTIF('Scénarios'!$B$2:$B$74,"4")</f>
        <v/>
      </c>
      <c r="D5" s="10">
        <f>COUNTIFS('Scénarios'!$B$2:$B$74,"4",'Scénarios'!$I$2:$I$74,"OK")</f>
        <v/>
      </c>
      <c r="E5" s="10">
        <f>COUNTIFS('Scénarios'!$B$2:$B$74,"4",'Scénarios'!$I$2:$I$74,"Réserve")</f>
        <v/>
      </c>
      <c r="F5" s="10">
        <f>COUNTIFS('Scénarios'!$B$2:$B$74,"4",'Scénarios'!$I$2:$I$74,"KO")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COUNTIF('Scénarios'!$B$2:$B$74,"5")</f>
        <v/>
      </c>
      <c r="D6" s="9">
        <f>COUNTIFS('Scénarios'!$B$2:$B$74,"5",'Scénarios'!$I$2:$I$74,"OK")</f>
        <v/>
      </c>
      <c r="E6" s="9">
        <f>COUNTIFS('Scénarios'!$B$2:$B$74,"5",'Scénarios'!$I$2:$I$74,"Réserve")</f>
        <v/>
      </c>
      <c r="F6" s="9">
        <f>COUNTIFS('Scénarios'!$B$2:$B$74,"5",'Scénarios'!$I$2:$I$74,"KO")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COUNTIF('Scénarios'!$B$2:$B$74,"6")</f>
        <v/>
      </c>
      <c r="D7" s="10">
        <f>COUNTIFS('Scénarios'!$B$2:$B$74,"6",'Scénarios'!$I$2:$I$74,"OK")</f>
        <v/>
      </c>
      <c r="E7" s="10">
        <f>COUNTIFS('Scénarios'!$B$2:$B$74,"6",'Scénarios'!$I$2:$I$74,"Réserve")</f>
        <v/>
      </c>
      <c r="F7" s="10">
        <f>COUNTIFS('Scénarios'!$B$2:$B$74,"6",'Scénarios'!$I$2:$I$74,"KO")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COUNTIF('Scénarios'!$B$2:$B$74,"7")</f>
        <v/>
      </c>
      <c r="D8" s="9">
        <f>COUNTIFS('Scénarios'!$B$2:$B$74,"7",'Scénarios'!$I$2:$I$74,"OK")</f>
        <v/>
      </c>
      <c r="E8" s="9">
        <f>COUNTIFS('Scénarios'!$B$2:$B$74,"7",'Scénarios'!$I$2:$I$74,"Réserve")</f>
        <v/>
      </c>
      <c r="F8" s="9">
        <f>COUNTIFS('Scénarios'!$B$2:$B$74,"7",'Scénarios'!$I$2:$I$74,"KO")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COUNTIF('Scénarios'!$B$2:$B$74,"8")</f>
        <v/>
      </c>
      <c r="D9" s="10">
        <f>COUNTIFS('Scénarios'!$B$2:$B$74,"8",'Scénarios'!$I$2:$I$74,"OK")</f>
        <v/>
      </c>
      <c r="E9" s="10">
        <f>COUNTIFS('Scénarios'!$B$2:$B$74,"8",'Scénarios'!$I$2:$I$74,"Réserve")</f>
        <v/>
      </c>
      <c r="F9" s="10">
        <f>COUNTIFS('Scénarios'!$B$2:$B$74,"8",'Scénarios'!$I$2:$I$74,"KO")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COUNTIF('Scénarios'!$B$2:$B$74,"9")</f>
        <v/>
      </c>
      <c r="D10" s="9">
        <f>COUNTIFS('Scénarios'!$B$2:$B$74,"9",'Scénarios'!$I$2:$I$74,"OK")</f>
        <v/>
      </c>
      <c r="E10" s="9">
        <f>COUNTIFS('Scénarios'!$B$2:$B$74,"9",'Scénarios'!$I$2:$I$74,"Réserve")</f>
        <v/>
      </c>
      <c r="F10" s="9">
        <f>COUNTIFS('Scénarios'!$B$2:$B$74,"9",'Scénarios'!$I$2:$I$74,"KO")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COUNTIF('Scénarios'!$B$2:$B$74,"10")</f>
        <v/>
      </c>
      <c r="D11" s="10">
        <f>COUNTIFS('Scénarios'!$B$2:$B$74,"10",'Scénarios'!$I$2:$I$74,"OK")</f>
        <v/>
      </c>
      <c r="E11" s="10">
        <f>COUNTIFS('Scénarios'!$B$2:$B$74,"10",'Scénarios'!$I$2:$I$74,"Réserve")</f>
        <v/>
      </c>
      <c r="F11" s="10">
        <f>COUNTIFS('Scénarios'!$B$2:$B$74,"10",'Scénarios'!$I$2:$I$74,"KO")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COUNTIF('Scénarios'!$B$2:$B$74,"11")</f>
        <v/>
      </c>
      <c r="D12" s="9">
        <f>COUNTIFS('Scénarios'!$B$2:$B$74,"11",'Scénarios'!$I$2:$I$74,"OK")</f>
        <v/>
      </c>
      <c r="E12" s="9">
        <f>COUNTIFS('Scénarios'!$B$2:$B$74,"11",'Scénarios'!$I$2:$I$74,"Réserve")</f>
        <v/>
      </c>
      <c r="F12" s="9">
        <f>COUNTIFS('Scénarios'!$B$2:$B$74,"11",'Scénarios'!$I$2:$I$74,"KO")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COUNTIF('Scénarios'!$B$2:$B$74,"12")</f>
        <v/>
      </c>
      <c r="D13" s="10">
        <f>COUNTIFS('Scénarios'!$B$2:$B$74,"12",'Scénarios'!$I$2:$I$74,"OK")</f>
        <v/>
      </c>
      <c r="E13" s="10">
        <f>COUNTIFS('Scénarios'!$B$2:$B$74,"12",'Scénarios'!$I$2:$I$74,"Réserve")</f>
        <v/>
      </c>
      <c r="F13" s="10">
        <f>COUNTIFS('Scénarios'!$B$2:$B$74,"12",'Scénarios'!$I$2:$I$74,"KO")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COUNTIF('Scénarios'!$B$2:$B$74,"13")</f>
        <v/>
      </c>
      <c r="D14" s="9">
        <f>COUNTIFS('Scénarios'!$B$2:$B$74,"13",'Scénarios'!$I$2:$I$74,"OK")</f>
        <v/>
      </c>
      <c r="E14" s="9">
        <f>COUNTIFS('Scénarios'!$B$2:$B$74,"13",'Scénarios'!$I$2:$I$74,"Réserve")</f>
        <v/>
      </c>
      <c r="F14" s="9">
        <f>COUNTIFS('Scénarios'!$B$2:$B$74,"13",'Scénarios'!$I$2:$I$74,"KO")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COUNTIF('Scénarios'!$B$2:$B$74,"14")</f>
        <v/>
      </c>
      <c r="D15" s="10">
        <f>COUNTIFS('Scénarios'!$B$2:$B$74,"14",'Scénarios'!$I$2:$I$74,"OK")</f>
        <v/>
      </c>
      <c r="E15" s="10">
        <f>COUNTIFS('Scénarios'!$B$2:$B$74,"14",'Scénarios'!$I$2:$I$74,"Réserve")</f>
        <v/>
      </c>
      <c r="F15" s="10">
        <f>COUNTIFS('Scénarios'!$B$2:$B$74,"14",'Scénarios'!$I$2:$I$74,"KO")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COUNTIF('Scénarios'!$B$2:$B$74,"15")</f>
        <v/>
      </c>
      <c r="D16" s="9">
        <f>COUNTIFS('Scénarios'!$B$2:$B$74,"15",'Scénarios'!$I$2:$I$74,"OK")</f>
        <v/>
      </c>
      <c r="E16" s="9">
        <f>COUNTIFS('Scénarios'!$B$2:$B$74,"15",'Scénarios'!$I$2:$I$74,"Réserve")</f>
        <v/>
      </c>
      <c r="F16" s="9">
        <f>COUNTIFS('Scénarios'!$B$2:$B$74,"15",'Scénarios'!$I$2:$I$74,"KO")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COUNTIF('Scénarios'!$B$2:$B$74,"16")</f>
        <v/>
      </c>
      <c r="D17" s="10">
        <f>COUNTIFS('Scénarios'!$B$2:$B$74,"16",'Scénarios'!$I$2:$I$74,"OK")</f>
        <v/>
      </c>
      <c r="E17" s="10">
        <f>COUNTIFS('Scénarios'!$B$2:$B$74,"16",'Scénarios'!$I$2:$I$74,"Réserve")</f>
        <v/>
      </c>
      <c r="F17" s="10">
        <f>COUNTIFS('Scénarios'!$B$2:$B$74,"16",'Scénarios'!$I$2:$I$74,"KO")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COUNTIF('Scénarios'!$B$2:$B$74,"17")</f>
        <v/>
      </c>
      <c r="D18" s="9">
        <f>COUNTIFS('Scénarios'!$B$2:$B$74,"17",'Scénarios'!$I$2:$I$74,"OK")</f>
        <v/>
      </c>
      <c r="E18" s="9">
        <f>COUNTIFS('Scénarios'!$B$2:$B$74,"17",'Scénarios'!$I$2:$I$74,"Réserve")</f>
        <v/>
      </c>
      <c r="F18" s="9">
        <f>COUNTIFS('Scénarios'!$B$2:$B$74,"17",'Scénarios'!$I$2:$I$74,"KO")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COUNTIF('Scénarios'!$B$2:$B$74,"18")</f>
        <v/>
      </c>
      <c r="D19" s="10">
        <f>COUNTIFS('Scénarios'!$B$2:$B$74,"18",'Scénarios'!$I$2:$I$74,"OK")</f>
        <v/>
      </c>
      <c r="E19" s="10">
        <f>COUNTIFS('Scénarios'!$B$2:$B$74,"18",'Scénarios'!$I$2:$I$74,"Réserve")</f>
        <v/>
      </c>
      <c r="F19" s="10">
        <f>COUNTIFS('Scénarios'!$B$2:$B$74,"18",'Scénarios'!$I$2:$I$74,"KO")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COUNTIF('Scénarios'!$B$2:$B$74,"19")</f>
        <v/>
      </c>
      <c r="D20" s="9">
        <f>COUNTIFS('Scénarios'!$B$2:$B$74,"19",'Scénarios'!$I$2:$I$74,"OK")</f>
        <v/>
      </c>
      <c r="E20" s="9">
        <f>COUNTIFS('Scénarios'!$B$2:$B$74,"19",'Scénarios'!$I$2:$I$74,"Réserve")</f>
        <v/>
      </c>
      <c r="F20" s="9">
        <f>COUNTIFS('Scénarios'!$B$2:$B$74,"19",'Scénarios'!$I$2:$I$74,"KO")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COUNTIF('Scénarios'!$B$2:$B$74,"AX")</f>
        <v/>
      </c>
      <c r="D21" s="10">
        <f>COUNTIFS('Scénarios'!$B$2:$B$74,"AX",'Scénarios'!$I$2:$I$74,"OK")</f>
        <v/>
      </c>
      <c r="E21" s="10">
        <f>COUNTIFS('Scénarios'!$B$2:$B$74,"AX",'Scénarios'!$I$2:$I$74,"Réserve")</f>
        <v/>
      </c>
      <c r="F21" s="10">
        <f>COUNTIFS('Scénarios'!$B$2:$B$74,"AX",'Scénarios'!$I$2:$I$74,"KO")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2026-10-17T14:21:13Z</dcterms:created>
  <dcterms:modified xmlns:dcterms="http://purl.org/dc/terms/" xmlns:xsi="http://www.w3.org/2001/XMLSchema-instance" xsi:type="dcterms:W3CDTF">2026-10-17T14:21:13Z</dcterms:modified>
</cp:coreProperties>
</file>