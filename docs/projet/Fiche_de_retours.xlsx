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Retours" sheetId="2" state="visible" r:id="rId2"/>
    <sheet xmlns:r="http://schemas.openxmlformats.org/officeDocument/2006/relationships" name="Synthèse" sheetId="3" state="visible" r:id="rId3"/>
  </sheets>
  <definedNames>
    <definedName name="_xlnm._FilterDatabase" localSheetId="1" hidden="1">'Retours'!$A$1:$N$301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b val="1"/>
      <color rgb="00142F29"/>
      <sz val="16"/>
    </font>
    <font>
      <i val="1"/>
      <color rgb="00666666"/>
    </font>
    <font>
      <b val="1"/>
      <color rgb="0022634C"/>
    </font>
    <font>
      <b val="1"/>
      <color rgb="00FFFFFF"/>
    </font>
    <font>
      <b val="1"/>
      <color rgb="00142F29"/>
      <sz val="14"/>
    </font>
  </fonts>
  <fills count="5">
    <fill>
      <patternFill/>
    </fill>
    <fill>
      <patternFill patternType="gray125"/>
    </fill>
    <fill>
      <patternFill patternType="solid">
        <fgColor rgb="00142F29"/>
      </patternFill>
    </fill>
    <fill>
      <patternFill patternType="solid">
        <fgColor rgb="0022634C"/>
      </patternFill>
    </fill>
    <fill>
      <patternFill patternType="solid">
        <fgColor rgb="00F2F4F2"/>
      </patternFill>
    </fill>
  </fills>
  <borders count="2">
    <border>
      <left/>
      <right/>
      <top/>
      <bottom/>
      <diagonal/>
    </border>
    <border>
      <left style="thin">
        <color rgb="00D5DBD7"/>
      </left>
      <right style="thin">
        <color rgb="00D5DBD7"/>
      </right>
      <top style="thin">
        <color rgb="00D5DBD7"/>
      </top>
      <bottom style="thin">
        <color rgb="00D5DBD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Fiche de retours des testeurs : plateforme NIMOVA (recette)</t>
        </is>
      </c>
    </row>
    <row r="2">
      <c r="A2" s="2" t="inlineStr">
        <is>
          <t>EGUITRA GROUP SARLU et MB AxisPro · E-VOLUTION XP</t>
        </is>
      </c>
    </row>
    <row r="3">
      <c r="A3" s="3" t="inlineStr"/>
    </row>
    <row r="4">
      <c r="A4" s="4" t="inlineStr">
        <is>
          <t>Comment remplir</t>
        </is>
      </c>
    </row>
    <row r="5">
      <c r="A5" s="3" t="inlineStr">
        <is>
          <t>Une ligne par remarque, dans l'onglet Retours. Choisissez le compte, l'application, le type et la gravité dans les listes ; copiez l'adresse de l'écran depuis la barre d'adresse du navigateur.</t>
        </is>
      </c>
    </row>
    <row r="6">
      <c r="A6" s="3" t="inlineStr">
        <is>
          <t>Décrivez ce que vous avez fait, ce que vous attendiez et ce qui s'est passé : c'est ce qui permet de reproduire et de corriger.</t>
        </is>
      </c>
    </row>
    <row r="7">
      <c r="A7" s="3" t="inlineStr">
        <is>
          <t>Capture d'écran : Windows + Maj + S, puis enregistrez-la et indiquez son nom dans la colonne prévue.</t>
        </is>
      </c>
    </row>
    <row r="8">
      <c r="A8" s="3" t="inlineStr"/>
    </row>
    <row r="9">
      <c r="A9" s="4" t="inlineStr">
        <is>
          <t>Types</t>
        </is>
      </c>
    </row>
    <row r="10">
      <c r="A10" s="3" t="inlineStr">
        <is>
          <t>Anomalie : quelque chose ne marche pas. Amélioration : cela marche mais pourrait mieux faire. Manque : une fonction attendue n'existe pas. Question : un point à éclaircir.</t>
        </is>
      </c>
    </row>
    <row r="11">
      <c r="A11" s="3" t="inlineStr">
        <is>
          <t>Gravité : Bloquant (impossible de continuer), Gênant, Mineur.</t>
        </is>
      </c>
    </row>
    <row r="12">
      <c r="A12" s="3" t="inlineStr"/>
    </row>
    <row r="13">
      <c r="A13" s="4" t="inlineStr">
        <is>
          <t>Envoi</t>
        </is>
      </c>
    </row>
    <row r="14">
      <c r="A14" s="3" t="inlineStr">
        <is>
          <t>Envoyez la fiche à la direction en fin de semaine. Un point bloquant se signale tout de suite, par téléphone ou par message.</t>
        </is>
      </c>
    </row>
    <row r="15">
      <c r="A15" s="3" t="inlineStr">
        <is>
          <t>Les colonnes vertes foncées (réponse, statut) sont remplies par E-VOLUTION XP.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7" customWidth="1" min="3" max="3"/>
    <col width="13" customWidth="1" min="4" max="4"/>
    <col width="30" customWidth="1" min="5" max="5"/>
    <col width="14" customWidth="1" min="6" max="6"/>
    <col width="40" customWidth="1" min="7" max="7"/>
    <col width="34" customWidth="1" min="8" max="8"/>
    <col width="34" customWidth="1" min="9" max="9"/>
    <col width="11" customWidth="1" min="10" max="10"/>
    <col width="20" customWidth="1" min="11" max="11"/>
    <col width="40" customWidth="1" min="12" max="12"/>
    <col width="22" customWidth="1" min="13" max="13"/>
    <col width="14" customWidth="1" min="14" max="14"/>
  </cols>
  <sheetData>
    <row r="1" ht="32" customHeight="1">
      <c r="A1" s="5" t="inlineStr">
        <is>
          <t>N°</t>
        </is>
      </c>
      <c r="B1" s="5" t="inlineStr">
        <is>
          <t>Date</t>
        </is>
      </c>
      <c r="C1" s="5" t="inlineStr">
        <is>
          <t>Compte</t>
        </is>
      </c>
      <c r="D1" s="5" t="inlineStr">
        <is>
          <t>Application</t>
        </is>
      </c>
      <c r="E1" s="5" t="inlineStr">
        <is>
          <t>Écran (adresse)</t>
        </is>
      </c>
      <c r="F1" s="5" t="inlineStr">
        <is>
          <t>Type</t>
        </is>
      </c>
      <c r="G1" s="5" t="inlineStr">
        <is>
          <t>Ce que j'ai fait</t>
        </is>
      </c>
      <c r="H1" s="5" t="inlineStr">
        <is>
          <t>Ce que j'attendais</t>
        </is>
      </c>
      <c r="I1" s="5" t="inlineStr">
        <is>
          <t>Ce qui s'est passé</t>
        </is>
      </c>
      <c r="J1" s="5" t="inlineStr">
        <is>
          <t>Gravité</t>
        </is>
      </c>
      <c r="K1" s="5" t="inlineStr">
        <is>
          <t>Capture (nom du fichier)</t>
        </is>
      </c>
      <c r="L1" s="6" t="inlineStr">
        <is>
          <t>Réponse d'E-VOLUTION XP</t>
        </is>
      </c>
      <c r="M1" s="6" t="inlineStr">
        <is>
          <t>Statut</t>
        </is>
      </c>
      <c r="N1" s="6" t="inlineStr">
        <is>
          <t>Date de traitement</t>
        </is>
      </c>
    </row>
    <row r="2">
      <c r="A2" s="7" t="n">
        <v>1</v>
      </c>
      <c r="B2" s="8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8" t="n"/>
    </row>
    <row r="3">
      <c r="A3" s="9" t="n">
        <v>2</v>
      </c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10" t="n"/>
    </row>
    <row r="4">
      <c r="A4" s="7" t="n">
        <v>3</v>
      </c>
      <c r="B4" s="8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n"/>
    </row>
    <row r="5">
      <c r="A5" s="9" t="n">
        <v>4</v>
      </c>
      <c r="B5" s="10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10" t="n"/>
    </row>
    <row r="6">
      <c r="A6" s="7" t="n">
        <v>5</v>
      </c>
      <c r="B6" s="8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</row>
    <row r="7">
      <c r="A7" s="9" t="n">
        <v>6</v>
      </c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10" t="n"/>
    </row>
    <row r="8">
      <c r="A8" s="7" t="n">
        <v>7</v>
      </c>
      <c r="B8" s="8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8" t="n"/>
    </row>
    <row r="9">
      <c r="A9" s="9" t="n">
        <v>8</v>
      </c>
      <c r="B9" s="10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10" t="n"/>
    </row>
    <row r="10">
      <c r="A10" s="7" t="n">
        <v>9</v>
      </c>
      <c r="B10" s="8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" t="n"/>
    </row>
    <row r="11">
      <c r="A11" s="9" t="n">
        <v>10</v>
      </c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10" t="n"/>
    </row>
    <row r="12">
      <c r="A12" s="7" t="n">
        <v>11</v>
      </c>
      <c r="B12" s="8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8" t="n"/>
    </row>
    <row r="13">
      <c r="A13" s="9" t="n">
        <v>12</v>
      </c>
      <c r="B13" s="10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10" t="n"/>
    </row>
    <row r="14">
      <c r="A14" s="7" t="n">
        <v>13</v>
      </c>
      <c r="B14" s="8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8" t="n"/>
    </row>
    <row r="15">
      <c r="A15" s="9" t="n">
        <v>14</v>
      </c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10" t="n"/>
    </row>
    <row r="16">
      <c r="A16" s="7" t="n">
        <v>15</v>
      </c>
      <c r="B16" s="8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8" t="n"/>
    </row>
    <row r="17">
      <c r="A17" s="9" t="n">
        <v>16</v>
      </c>
      <c r="B17" s="10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10" t="n"/>
    </row>
    <row r="18">
      <c r="A18" s="7" t="n">
        <v>17</v>
      </c>
      <c r="B18" s="8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8" t="n"/>
    </row>
    <row r="19">
      <c r="A19" s="9" t="n">
        <v>18</v>
      </c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10" t="n"/>
    </row>
    <row r="20">
      <c r="A20" s="7" t="n">
        <v>19</v>
      </c>
      <c r="B20" s="8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8" t="n"/>
    </row>
    <row r="21">
      <c r="A21" s="9" t="n">
        <v>20</v>
      </c>
      <c r="B21" s="10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10" t="n"/>
    </row>
    <row r="22">
      <c r="A22" s="7" t="n">
        <v>21</v>
      </c>
      <c r="B22" s="8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8" t="n"/>
    </row>
    <row r="23">
      <c r="A23" s="9" t="n">
        <v>22</v>
      </c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10" t="n"/>
    </row>
    <row r="24">
      <c r="A24" s="7" t="n">
        <v>23</v>
      </c>
      <c r="B24" s="8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8" t="n"/>
    </row>
    <row r="25">
      <c r="A25" s="9" t="n">
        <v>24</v>
      </c>
      <c r="B25" s="10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10" t="n"/>
    </row>
    <row r="26">
      <c r="A26" s="7" t="n">
        <v>25</v>
      </c>
      <c r="B26" s="8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8" t="n"/>
    </row>
    <row r="27">
      <c r="A27" s="9" t="n">
        <v>26</v>
      </c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10" t="n"/>
    </row>
    <row r="28">
      <c r="A28" s="7" t="n">
        <v>27</v>
      </c>
      <c r="B28" s="8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8" t="n"/>
    </row>
    <row r="29">
      <c r="A29" s="9" t="n">
        <v>28</v>
      </c>
      <c r="B29" s="10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10" t="n"/>
    </row>
    <row r="30">
      <c r="A30" s="7" t="n">
        <v>29</v>
      </c>
      <c r="B30" s="8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8" t="n"/>
    </row>
    <row r="31">
      <c r="A31" s="9" t="n">
        <v>30</v>
      </c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10" t="n"/>
    </row>
    <row r="32">
      <c r="A32" s="7" t="n">
        <v>31</v>
      </c>
      <c r="B32" s="8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8" t="n"/>
    </row>
    <row r="33">
      <c r="A33" s="9" t="n">
        <v>32</v>
      </c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10" t="n"/>
    </row>
    <row r="34">
      <c r="A34" s="7" t="n">
        <v>33</v>
      </c>
      <c r="B34" s="8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8" t="n"/>
    </row>
    <row r="35">
      <c r="A35" s="9" t="n">
        <v>34</v>
      </c>
      <c r="B35" s="10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10" t="n"/>
    </row>
    <row r="36">
      <c r="A36" s="7" t="n">
        <v>35</v>
      </c>
      <c r="B36" s="8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8" t="n"/>
    </row>
    <row r="37">
      <c r="A37" s="9" t="n">
        <v>36</v>
      </c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10" t="n"/>
    </row>
    <row r="38">
      <c r="A38" s="7" t="n">
        <v>37</v>
      </c>
      <c r="B38" s="8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8" t="n"/>
    </row>
    <row r="39">
      <c r="A39" s="9" t="n">
        <v>38</v>
      </c>
      <c r="B39" s="10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10" t="n"/>
    </row>
    <row r="40">
      <c r="A40" s="7" t="n">
        <v>39</v>
      </c>
      <c r="B40" s="8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8" t="n"/>
    </row>
    <row r="41">
      <c r="A41" s="9" t="n">
        <v>40</v>
      </c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10" t="n"/>
    </row>
    <row r="42">
      <c r="A42" s="7" t="n">
        <v>41</v>
      </c>
      <c r="B42" s="8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8" t="n"/>
    </row>
    <row r="43">
      <c r="A43" s="9" t="n">
        <v>42</v>
      </c>
      <c r="B43" s="1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10" t="n"/>
    </row>
    <row r="44">
      <c r="A44" s="7" t="n">
        <v>43</v>
      </c>
      <c r="B44" s="8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8" t="n"/>
    </row>
    <row r="45">
      <c r="A45" s="9" t="n">
        <v>44</v>
      </c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10" t="n"/>
    </row>
    <row r="46">
      <c r="A46" s="7" t="n">
        <v>45</v>
      </c>
      <c r="B46" s="8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8" t="n"/>
    </row>
    <row r="47">
      <c r="A47" s="9" t="n">
        <v>46</v>
      </c>
      <c r="B47" s="10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10" t="n"/>
    </row>
    <row r="48">
      <c r="A48" s="7" t="n">
        <v>47</v>
      </c>
      <c r="B48" s="8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8" t="n"/>
    </row>
    <row r="49">
      <c r="A49" s="9" t="n">
        <v>48</v>
      </c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10" t="n"/>
    </row>
    <row r="50">
      <c r="A50" s="7" t="n">
        <v>49</v>
      </c>
      <c r="B50" s="8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8" t="n"/>
    </row>
    <row r="51">
      <c r="A51" s="9" t="n">
        <v>50</v>
      </c>
      <c r="B51" s="10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10" t="n"/>
    </row>
    <row r="52">
      <c r="A52" s="7" t="n">
        <v>51</v>
      </c>
      <c r="B52" s="8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8" t="n"/>
    </row>
    <row r="53">
      <c r="A53" s="9" t="n">
        <v>52</v>
      </c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10" t="n"/>
    </row>
    <row r="54">
      <c r="A54" s="7" t="n">
        <v>53</v>
      </c>
      <c r="B54" s="8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8" t="n"/>
    </row>
    <row r="55">
      <c r="A55" s="9" t="n">
        <v>54</v>
      </c>
      <c r="B55" s="10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10" t="n"/>
    </row>
    <row r="56">
      <c r="A56" s="7" t="n">
        <v>55</v>
      </c>
      <c r="B56" s="8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8" t="n"/>
    </row>
    <row r="57">
      <c r="A57" s="9" t="n">
        <v>56</v>
      </c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10" t="n"/>
    </row>
    <row r="58">
      <c r="A58" s="7" t="n">
        <v>57</v>
      </c>
      <c r="B58" s="8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8" t="n"/>
    </row>
    <row r="59">
      <c r="A59" s="9" t="n">
        <v>58</v>
      </c>
      <c r="B59" s="10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10" t="n"/>
    </row>
    <row r="60">
      <c r="A60" s="7" t="n">
        <v>59</v>
      </c>
      <c r="B60" s="8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8" t="n"/>
    </row>
    <row r="61">
      <c r="A61" s="9" t="n">
        <v>60</v>
      </c>
      <c r="B61" s="10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10" t="n"/>
    </row>
    <row r="62">
      <c r="A62" s="7" t="n">
        <v>61</v>
      </c>
      <c r="B62" s="8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8" t="n"/>
    </row>
    <row r="63">
      <c r="A63" s="9" t="n">
        <v>62</v>
      </c>
      <c r="B63" s="10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10" t="n"/>
    </row>
    <row r="64">
      <c r="A64" s="7" t="n">
        <v>63</v>
      </c>
      <c r="B64" s="8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8" t="n"/>
    </row>
    <row r="65">
      <c r="A65" s="9" t="n">
        <v>64</v>
      </c>
      <c r="B65" s="10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10" t="n"/>
    </row>
    <row r="66">
      <c r="A66" s="7" t="n">
        <v>65</v>
      </c>
      <c r="B66" s="8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8" t="n"/>
    </row>
    <row r="67">
      <c r="A67" s="9" t="n">
        <v>66</v>
      </c>
      <c r="B67" s="10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10" t="n"/>
    </row>
    <row r="68">
      <c r="A68" s="7" t="n">
        <v>67</v>
      </c>
      <c r="B68" s="8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8" t="n"/>
    </row>
    <row r="69">
      <c r="A69" s="9" t="n">
        <v>68</v>
      </c>
      <c r="B69" s="10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10" t="n"/>
    </row>
    <row r="70">
      <c r="A70" s="7" t="n">
        <v>69</v>
      </c>
      <c r="B70" s="8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8" t="n"/>
    </row>
    <row r="71">
      <c r="A71" s="9" t="n">
        <v>70</v>
      </c>
      <c r="B71" s="10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10" t="n"/>
    </row>
    <row r="72">
      <c r="A72" s="7" t="n">
        <v>71</v>
      </c>
      <c r="B72" s="8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8" t="n"/>
    </row>
    <row r="73">
      <c r="A73" s="9" t="n">
        <v>72</v>
      </c>
      <c r="B73" s="10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10" t="n"/>
    </row>
    <row r="74">
      <c r="A74" s="7" t="n">
        <v>73</v>
      </c>
      <c r="B74" s="8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8" t="n"/>
    </row>
    <row r="75">
      <c r="A75" s="9" t="n">
        <v>74</v>
      </c>
      <c r="B75" s="10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10" t="n"/>
    </row>
    <row r="76">
      <c r="A76" s="7" t="n">
        <v>75</v>
      </c>
      <c r="B76" s="8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8" t="n"/>
    </row>
    <row r="77">
      <c r="A77" s="9" t="n">
        <v>76</v>
      </c>
      <c r="B77" s="10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10" t="n"/>
    </row>
    <row r="78">
      <c r="A78" s="7" t="n">
        <v>77</v>
      </c>
      <c r="B78" s="8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8" t="n"/>
    </row>
    <row r="79">
      <c r="A79" s="9" t="n">
        <v>78</v>
      </c>
      <c r="B79" s="10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10" t="n"/>
    </row>
    <row r="80">
      <c r="A80" s="7" t="n">
        <v>79</v>
      </c>
      <c r="B80" s="8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8" t="n"/>
    </row>
    <row r="81">
      <c r="A81" s="9" t="n">
        <v>80</v>
      </c>
      <c r="B81" s="10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10" t="n"/>
    </row>
    <row r="82">
      <c r="A82" s="7" t="n">
        <v>81</v>
      </c>
      <c r="B82" s="8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8" t="n"/>
    </row>
    <row r="83">
      <c r="A83" s="9" t="n">
        <v>82</v>
      </c>
      <c r="B83" s="10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10" t="n"/>
    </row>
    <row r="84">
      <c r="A84" s="7" t="n">
        <v>83</v>
      </c>
      <c r="B84" s="8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8" t="n"/>
    </row>
    <row r="85">
      <c r="A85" s="9" t="n">
        <v>84</v>
      </c>
      <c r="B85" s="10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10" t="n"/>
    </row>
    <row r="86">
      <c r="A86" s="7" t="n">
        <v>85</v>
      </c>
      <c r="B86" s="8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8" t="n"/>
    </row>
    <row r="87">
      <c r="A87" s="9" t="n">
        <v>86</v>
      </c>
      <c r="B87" s="10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10" t="n"/>
    </row>
    <row r="88">
      <c r="A88" s="7" t="n">
        <v>87</v>
      </c>
      <c r="B88" s="8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8" t="n"/>
    </row>
    <row r="89">
      <c r="A89" s="9" t="n">
        <v>88</v>
      </c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10" t="n"/>
    </row>
    <row r="90">
      <c r="A90" s="7" t="n">
        <v>89</v>
      </c>
      <c r="B90" s="8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8" t="n"/>
    </row>
    <row r="91">
      <c r="A91" s="9" t="n">
        <v>90</v>
      </c>
      <c r="B91" s="10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10" t="n"/>
    </row>
    <row r="92">
      <c r="A92" s="7" t="n">
        <v>91</v>
      </c>
      <c r="B92" s="8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8" t="n"/>
    </row>
    <row r="93">
      <c r="A93" s="9" t="n">
        <v>92</v>
      </c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10" t="n"/>
    </row>
    <row r="94">
      <c r="A94" s="7" t="n">
        <v>93</v>
      </c>
      <c r="B94" s="8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8" t="n"/>
    </row>
    <row r="95">
      <c r="A95" s="9" t="n">
        <v>94</v>
      </c>
      <c r="B95" s="10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10" t="n"/>
    </row>
    <row r="96">
      <c r="A96" s="7" t="n">
        <v>95</v>
      </c>
      <c r="B96" s="8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8" t="n"/>
    </row>
    <row r="97">
      <c r="A97" s="9" t="n">
        <v>96</v>
      </c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10" t="n"/>
    </row>
    <row r="98">
      <c r="A98" s="7" t="n">
        <v>97</v>
      </c>
      <c r="B98" s="8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8" t="n"/>
    </row>
    <row r="99">
      <c r="A99" s="9" t="n">
        <v>98</v>
      </c>
      <c r="B99" s="10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10" t="n"/>
    </row>
    <row r="100">
      <c r="A100" s="7" t="n">
        <v>99</v>
      </c>
      <c r="B100" s="8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8" t="n"/>
    </row>
    <row r="101">
      <c r="A101" s="9" t="n">
        <v>100</v>
      </c>
      <c r="B101" s="10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10" t="n"/>
    </row>
    <row r="102">
      <c r="A102" s="7" t="n">
        <v>101</v>
      </c>
      <c r="B102" s="8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8" t="n"/>
    </row>
    <row r="103">
      <c r="A103" s="9" t="n">
        <v>102</v>
      </c>
      <c r="B103" s="10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10" t="n"/>
    </row>
    <row r="104">
      <c r="A104" s="7" t="n">
        <v>103</v>
      </c>
      <c r="B104" s="8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8" t="n"/>
    </row>
    <row r="105">
      <c r="A105" s="9" t="n">
        <v>104</v>
      </c>
      <c r="B105" s="10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10" t="n"/>
    </row>
    <row r="106">
      <c r="A106" s="7" t="n">
        <v>105</v>
      </c>
      <c r="B106" s="8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8" t="n"/>
    </row>
    <row r="107">
      <c r="A107" s="9" t="n">
        <v>106</v>
      </c>
      <c r="B107" s="10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10" t="n"/>
    </row>
    <row r="108">
      <c r="A108" s="7" t="n">
        <v>107</v>
      </c>
      <c r="B108" s="8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8" t="n"/>
    </row>
    <row r="109">
      <c r="A109" s="9" t="n">
        <v>108</v>
      </c>
      <c r="B109" s="10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10" t="n"/>
    </row>
    <row r="110">
      <c r="A110" s="7" t="n">
        <v>109</v>
      </c>
      <c r="B110" s="8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8" t="n"/>
    </row>
    <row r="111">
      <c r="A111" s="9" t="n">
        <v>110</v>
      </c>
      <c r="B111" s="10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10" t="n"/>
    </row>
    <row r="112">
      <c r="A112" s="7" t="n">
        <v>111</v>
      </c>
      <c r="B112" s="8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8" t="n"/>
    </row>
    <row r="113">
      <c r="A113" s="9" t="n">
        <v>112</v>
      </c>
      <c r="B113" s="10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10" t="n"/>
    </row>
    <row r="114">
      <c r="A114" s="7" t="n">
        <v>113</v>
      </c>
      <c r="B114" s="8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8" t="n"/>
    </row>
    <row r="115">
      <c r="A115" s="9" t="n">
        <v>114</v>
      </c>
      <c r="B115" s="10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10" t="n"/>
    </row>
    <row r="116">
      <c r="A116" s="7" t="n">
        <v>115</v>
      </c>
      <c r="B116" s="8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8" t="n"/>
    </row>
    <row r="117">
      <c r="A117" s="9" t="n">
        <v>116</v>
      </c>
      <c r="B117" s="10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10" t="n"/>
    </row>
    <row r="118">
      <c r="A118" s="7" t="n">
        <v>117</v>
      </c>
      <c r="B118" s="8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8" t="n"/>
    </row>
    <row r="119">
      <c r="A119" s="9" t="n">
        <v>118</v>
      </c>
      <c r="B119" s="10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10" t="n"/>
    </row>
    <row r="120">
      <c r="A120" s="7" t="n">
        <v>119</v>
      </c>
      <c r="B120" s="8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8" t="n"/>
    </row>
    <row r="121">
      <c r="A121" s="9" t="n">
        <v>120</v>
      </c>
      <c r="B121" s="10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10" t="n"/>
    </row>
    <row r="122">
      <c r="A122" s="7" t="n">
        <v>121</v>
      </c>
      <c r="B122" s="8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8" t="n"/>
    </row>
    <row r="123">
      <c r="A123" s="9" t="n">
        <v>122</v>
      </c>
      <c r="B123" s="10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10" t="n"/>
    </row>
    <row r="124">
      <c r="A124" s="7" t="n">
        <v>123</v>
      </c>
      <c r="B124" s="8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8" t="n"/>
    </row>
    <row r="125">
      <c r="A125" s="9" t="n">
        <v>124</v>
      </c>
      <c r="B125" s="10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10" t="n"/>
    </row>
    <row r="126">
      <c r="A126" s="7" t="n">
        <v>125</v>
      </c>
      <c r="B126" s="8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8" t="n"/>
    </row>
    <row r="127">
      <c r="A127" s="9" t="n">
        <v>126</v>
      </c>
      <c r="B127" s="10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10" t="n"/>
    </row>
    <row r="128">
      <c r="A128" s="7" t="n">
        <v>127</v>
      </c>
      <c r="B128" s="8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8" t="n"/>
    </row>
    <row r="129">
      <c r="A129" s="9" t="n">
        <v>128</v>
      </c>
      <c r="B129" s="10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10" t="n"/>
    </row>
    <row r="130">
      <c r="A130" s="7" t="n">
        <v>129</v>
      </c>
      <c r="B130" s="8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8" t="n"/>
    </row>
    <row r="131">
      <c r="A131" s="9" t="n">
        <v>130</v>
      </c>
      <c r="B131" s="10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10" t="n"/>
    </row>
    <row r="132">
      <c r="A132" s="7" t="n">
        <v>131</v>
      </c>
      <c r="B132" s="8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8" t="n"/>
    </row>
    <row r="133">
      <c r="A133" s="9" t="n">
        <v>132</v>
      </c>
      <c r="B133" s="10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10" t="n"/>
    </row>
    <row r="134">
      <c r="A134" s="7" t="n">
        <v>133</v>
      </c>
      <c r="B134" s="8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8" t="n"/>
    </row>
    <row r="135">
      <c r="A135" s="9" t="n">
        <v>134</v>
      </c>
      <c r="B135" s="10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10" t="n"/>
    </row>
    <row r="136">
      <c r="A136" s="7" t="n">
        <v>135</v>
      </c>
      <c r="B136" s="8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8" t="n"/>
    </row>
    <row r="137">
      <c r="A137" s="9" t="n">
        <v>136</v>
      </c>
      <c r="B137" s="10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10" t="n"/>
    </row>
    <row r="138">
      <c r="A138" s="7" t="n">
        <v>137</v>
      </c>
      <c r="B138" s="8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8" t="n"/>
    </row>
    <row r="139">
      <c r="A139" s="9" t="n">
        <v>138</v>
      </c>
      <c r="B139" s="10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10" t="n"/>
    </row>
    <row r="140">
      <c r="A140" s="7" t="n">
        <v>139</v>
      </c>
      <c r="B140" s="8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8" t="n"/>
    </row>
    <row r="141">
      <c r="A141" s="9" t="n">
        <v>140</v>
      </c>
      <c r="B141" s="10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10" t="n"/>
    </row>
    <row r="142">
      <c r="A142" s="7" t="n">
        <v>141</v>
      </c>
      <c r="B142" s="8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8" t="n"/>
    </row>
    <row r="143">
      <c r="A143" s="9" t="n">
        <v>142</v>
      </c>
      <c r="B143" s="10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10" t="n"/>
    </row>
    <row r="144">
      <c r="A144" s="7" t="n">
        <v>143</v>
      </c>
      <c r="B144" s="8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8" t="n"/>
    </row>
    <row r="145">
      <c r="A145" s="9" t="n">
        <v>144</v>
      </c>
      <c r="B145" s="10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10" t="n"/>
    </row>
    <row r="146">
      <c r="A146" s="7" t="n">
        <v>145</v>
      </c>
      <c r="B146" s="8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8" t="n"/>
    </row>
    <row r="147">
      <c r="A147" s="9" t="n">
        <v>146</v>
      </c>
      <c r="B147" s="10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10" t="n"/>
    </row>
    <row r="148">
      <c r="A148" s="7" t="n">
        <v>147</v>
      </c>
      <c r="B148" s="8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8" t="n"/>
    </row>
    <row r="149">
      <c r="A149" s="9" t="n">
        <v>148</v>
      </c>
      <c r="B149" s="10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10" t="n"/>
    </row>
    <row r="150">
      <c r="A150" s="7" t="n">
        <v>149</v>
      </c>
      <c r="B150" s="8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8" t="n"/>
    </row>
    <row r="151">
      <c r="A151" s="9" t="n">
        <v>150</v>
      </c>
      <c r="B151" s="10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10" t="n"/>
    </row>
    <row r="152">
      <c r="A152" s="7" t="n">
        <v>151</v>
      </c>
      <c r="B152" s="8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8" t="n"/>
    </row>
    <row r="153">
      <c r="A153" s="9" t="n">
        <v>152</v>
      </c>
      <c r="B153" s="10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10" t="n"/>
    </row>
    <row r="154">
      <c r="A154" s="7" t="n">
        <v>153</v>
      </c>
      <c r="B154" s="8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8" t="n"/>
    </row>
    <row r="155">
      <c r="A155" s="9" t="n">
        <v>154</v>
      </c>
      <c r="B155" s="10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10" t="n"/>
    </row>
    <row r="156">
      <c r="A156" s="7" t="n">
        <v>155</v>
      </c>
      <c r="B156" s="8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8" t="n"/>
    </row>
    <row r="157">
      <c r="A157" s="9" t="n">
        <v>156</v>
      </c>
      <c r="B157" s="10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10" t="n"/>
    </row>
    <row r="158">
      <c r="A158" s="7" t="n">
        <v>157</v>
      </c>
      <c r="B158" s="8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8" t="n"/>
    </row>
    <row r="159">
      <c r="A159" s="9" t="n">
        <v>158</v>
      </c>
      <c r="B159" s="10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10" t="n"/>
    </row>
    <row r="160">
      <c r="A160" s="7" t="n">
        <v>159</v>
      </c>
      <c r="B160" s="8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8" t="n"/>
    </row>
    <row r="161">
      <c r="A161" s="9" t="n">
        <v>160</v>
      </c>
      <c r="B161" s="10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10" t="n"/>
    </row>
    <row r="162">
      <c r="A162" s="7" t="n">
        <v>161</v>
      </c>
      <c r="B162" s="8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8" t="n"/>
    </row>
    <row r="163">
      <c r="A163" s="9" t="n">
        <v>162</v>
      </c>
      <c r="B163" s="10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10" t="n"/>
    </row>
    <row r="164">
      <c r="A164" s="7" t="n">
        <v>163</v>
      </c>
      <c r="B164" s="8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8" t="n"/>
    </row>
    <row r="165">
      <c r="A165" s="9" t="n">
        <v>164</v>
      </c>
      <c r="B165" s="10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10" t="n"/>
    </row>
    <row r="166">
      <c r="A166" s="7" t="n">
        <v>165</v>
      </c>
      <c r="B166" s="8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8" t="n"/>
    </row>
    <row r="167">
      <c r="A167" s="9" t="n">
        <v>166</v>
      </c>
      <c r="B167" s="10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10" t="n"/>
    </row>
    <row r="168">
      <c r="A168" s="7" t="n">
        <v>167</v>
      </c>
      <c r="B168" s="8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8" t="n"/>
    </row>
    <row r="169">
      <c r="A169" s="9" t="n">
        <v>168</v>
      </c>
      <c r="B169" s="10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10" t="n"/>
    </row>
    <row r="170">
      <c r="A170" s="7" t="n">
        <v>169</v>
      </c>
      <c r="B170" s="8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8" t="n"/>
    </row>
    <row r="171">
      <c r="A171" s="9" t="n">
        <v>170</v>
      </c>
      <c r="B171" s="10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10" t="n"/>
    </row>
    <row r="172">
      <c r="A172" s="7" t="n">
        <v>171</v>
      </c>
      <c r="B172" s="8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8" t="n"/>
    </row>
    <row r="173">
      <c r="A173" s="9" t="n">
        <v>172</v>
      </c>
      <c r="B173" s="10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10" t="n"/>
    </row>
    <row r="174">
      <c r="A174" s="7" t="n">
        <v>173</v>
      </c>
      <c r="B174" s="8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8" t="n"/>
    </row>
    <row r="175">
      <c r="A175" s="9" t="n">
        <v>174</v>
      </c>
      <c r="B175" s="10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10" t="n"/>
    </row>
    <row r="176">
      <c r="A176" s="7" t="n">
        <v>175</v>
      </c>
      <c r="B176" s="8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8" t="n"/>
    </row>
    <row r="177">
      <c r="A177" s="9" t="n">
        <v>176</v>
      </c>
      <c r="B177" s="10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10" t="n"/>
    </row>
    <row r="178">
      <c r="A178" s="7" t="n">
        <v>177</v>
      </c>
      <c r="B178" s="8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8" t="n"/>
    </row>
    <row r="179">
      <c r="A179" s="9" t="n">
        <v>178</v>
      </c>
      <c r="B179" s="10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10" t="n"/>
    </row>
    <row r="180">
      <c r="A180" s="7" t="n">
        <v>179</v>
      </c>
      <c r="B180" s="8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8" t="n"/>
    </row>
    <row r="181">
      <c r="A181" s="9" t="n">
        <v>180</v>
      </c>
      <c r="B181" s="10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10" t="n"/>
    </row>
    <row r="182">
      <c r="A182" s="7" t="n">
        <v>181</v>
      </c>
      <c r="B182" s="8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8" t="n"/>
    </row>
    <row r="183">
      <c r="A183" s="9" t="n">
        <v>182</v>
      </c>
      <c r="B183" s="10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10" t="n"/>
    </row>
    <row r="184">
      <c r="A184" s="7" t="n">
        <v>183</v>
      </c>
      <c r="B184" s="8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8" t="n"/>
    </row>
    <row r="185">
      <c r="A185" s="9" t="n">
        <v>184</v>
      </c>
      <c r="B185" s="10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10" t="n"/>
    </row>
    <row r="186">
      <c r="A186" s="7" t="n">
        <v>185</v>
      </c>
      <c r="B186" s="8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8" t="n"/>
    </row>
    <row r="187">
      <c r="A187" s="9" t="n">
        <v>186</v>
      </c>
      <c r="B187" s="10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10" t="n"/>
    </row>
    <row r="188">
      <c r="A188" s="7" t="n">
        <v>187</v>
      </c>
      <c r="B188" s="8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8" t="n"/>
    </row>
    <row r="189">
      <c r="A189" s="9" t="n">
        <v>188</v>
      </c>
      <c r="B189" s="10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10" t="n"/>
    </row>
    <row r="190">
      <c r="A190" s="7" t="n">
        <v>189</v>
      </c>
      <c r="B190" s="8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8" t="n"/>
    </row>
    <row r="191">
      <c r="A191" s="9" t="n">
        <v>190</v>
      </c>
      <c r="B191" s="10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10" t="n"/>
    </row>
    <row r="192">
      <c r="A192" s="7" t="n">
        <v>191</v>
      </c>
      <c r="B192" s="8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8" t="n"/>
    </row>
    <row r="193">
      <c r="A193" s="9" t="n">
        <v>192</v>
      </c>
      <c r="B193" s="10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10" t="n"/>
    </row>
    <row r="194">
      <c r="A194" s="7" t="n">
        <v>193</v>
      </c>
      <c r="B194" s="8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8" t="n"/>
    </row>
    <row r="195">
      <c r="A195" s="9" t="n">
        <v>194</v>
      </c>
      <c r="B195" s="10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10" t="n"/>
    </row>
    <row r="196">
      <c r="A196" s="7" t="n">
        <v>195</v>
      </c>
      <c r="B196" s="8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8" t="n"/>
    </row>
    <row r="197">
      <c r="A197" s="9" t="n">
        <v>196</v>
      </c>
      <c r="B197" s="10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10" t="n"/>
    </row>
    <row r="198">
      <c r="A198" s="7" t="n">
        <v>197</v>
      </c>
      <c r="B198" s="8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8" t="n"/>
    </row>
    <row r="199">
      <c r="A199" s="9" t="n">
        <v>198</v>
      </c>
      <c r="B199" s="10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10" t="n"/>
    </row>
    <row r="200">
      <c r="A200" s="7" t="n">
        <v>199</v>
      </c>
      <c r="B200" s="8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8" t="n"/>
    </row>
    <row r="201">
      <c r="A201" s="9" t="n">
        <v>200</v>
      </c>
      <c r="B201" s="10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10" t="n"/>
    </row>
    <row r="202">
      <c r="A202" s="7" t="n">
        <v>201</v>
      </c>
      <c r="B202" s="8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8" t="n"/>
    </row>
    <row r="203">
      <c r="A203" s="9" t="n">
        <v>202</v>
      </c>
      <c r="B203" s="10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10" t="n"/>
    </row>
    <row r="204">
      <c r="A204" s="7" t="n">
        <v>203</v>
      </c>
      <c r="B204" s="8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8" t="n"/>
    </row>
    <row r="205">
      <c r="A205" s="9" t="n">
        <v>204</v>
      </c>
      <c r="B205" s="10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10" t="n"/>
    </row>
    <row r="206">
      <c r="A206" s="7" t="n">
        <v>205</v>
      </c>
      <c r="B206" s="8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8" t="n"/>
    </row>
    <row r="207">
      <c r="A207" s="9" t="n">
        <v>206</v>
      </c>
      <c r="B207" s="10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10" t="n"/>
    </row>
    <row r="208">
      <c r="A208" s="7" t="n">
        <v>207</v>
      </c>
      <c r="B208" s="8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8" t="n"/>
    </row>
    <row r="209">
      <c r="A209" s="9" t="n">
        <v>208</v>
      </c>
      <c r="B209" s="10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10" t="n"/>
    </row>
    <row r="210">
      <c r="A210" s="7" t="n">
        <v>209</v>
      </c>
      <c r="B210" s="8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8" t="n"/>
    </row>
    <row r="211">
      <c r="A211" s="9" t="n">
        <v>210</v>
      </c>
      <c r="B211" s="10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10" t="n"/>
    </row>
    <row r="212">
      <c r="A212" s="7" t="n">
        <v>211</v>
      </c>
      <c r="B212" s="8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8" t="n"/>
    </row>
    <row r="213">
      <c r="A213" s="9" t="n">
        <v>212</v>
      </c>
      <c r="B213" s="10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10" t="n"/>
    </row>
    <row r="214">
      <c r="A214" s="7" t="n">
        <v>213</v>
      </c>
      <c r="B214" s="8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8" t="n"/>
    </row>
    <row r="215">
      <c r="A215" s="9" t="n">
        <v>214</v>
      </c>
      <c r="B215" s="10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10" t="n"/>
    </row>
    <row r="216">
      <c r="A216" s="7" t="n">
        <v>215</v>
      </c>
      <c r="B216" s="8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8" t="n"/>
    </row>
    <row r="217">
      <c r="A217" s="9" t="n">
        <v>216</v>
      </c>
      <c r="B217" s="10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10" t="n"/>
    </row>
    <row r="218">
      <c r="A218" s="7" t="n">
        <v>217</v>
      </c>
      <c r="B218" s="8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8" t="n"/>
    </row>
    <row r="219">
      <c r="A219" s="9" t="n">
        <v>218</v>
      </c>
      <c r="B219" s="10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10" t="n"/>
    </row>
    <row r="220">
      <c r="A220" s="7" t="n">
        <v>219</v>
      </c>
      <c r="B220" s="8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8" t="n"/>
    </row>
    <row r="221">
      <c r="A221" s="9" t="n">
        <v>220</v>
      </c>
      <c r="B221" s="10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10" t="n"/>
    </row>
    <row r="222">
      <c r="A222" s="7" t="n">
        <v>221</v>
      </c>
      <c r="B222" s="8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8" t="n"/>
    </row>
    <row r="223">
      <c r="A223" s="9" t="n">
        <v>222</v>
      </c>
      <c r="B223" s="10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10" t="n"/>
    </row>
    <row r="224">
      <c r="A224" s="7" t="n">
        <v>223</v>
      </c>
      <c r="B224" s="8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8" t="n"/>
    </row>
    <row r="225">
      <c r="A225" s="9" t="n">
        <v>224</v>
      </c>
      <c r="B225" s="10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10" t="n"/>
    </row>
    <row r="226">
      <c r="A226" s="7" t="n">
        <v>225</v>
      </c>
      <c r="B226" s="8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8" t="n"/>
    </row>
    <row r="227">
      <c r="A227" s="9" t="n">
        <v>226</v>
      </c>
      <c r="B227" s="10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10" t="n"/>
    </row>
    <row r="228">
      <c r="A228" s="7" t="n">
        <v>227</v>
      </c>
      <c r="B228" s="8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8" t="n"/>
    </row>
    <row r="229">
      <c r="A229" s="9" t="n">
        <v>228</v>
      </c>
      <c r="B229" s="10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10" t="n"/>
    </row>
    <row r="230">
      <c r="A230" s="7" t="n">
        <v>229</v>
      </c>
      <c r="B230" s="8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8" t="n"/>
    </row>
    <row r="231">
      <c r="A231" s="9" t="n">
        <v>230</v>
      </c>
      <c r="B231" s="10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10" t="n"/>
    </row>
    <row r="232">
      <c r="A232" s="7" t="n">
        <v>231</v>
      </c>
      <c r="B232" s="8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8" t="n"/>
    </row>
    <row r="233">
      <c r="A233" s="9" t="n">
        <v>232</v>
      </c>
      <c r="B233" s="10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10" t="n"/>
    </row>
    <row r="234">
      <c r="A234" s="7" t="n">
        <v>233</v>
      </c>
      <c r="B234" s="8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8" t="n"/>
    </row>
    <row r="235">
      <c r="A235" s="9" t="n">
        <v>234</v>
      </c>
      <c r="B235" s="10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10" t="n"/>
    </row>
    <row r="236">
      <c r="A236" s="7" t="n">
        <v>235</v>
      </c>
      <c r="B236" s="8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8" t="n"/>
    </row>
    <row r="237">
      <c r="A237" s="9" t="n">
        <v>236</v>
      </c>
      <c r="B237" s="10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10" t="n"/>
    </row>
    <row r="238">
      <c r="A238" s="7" t="n">
        <v>237</v>
      </c>
      <c r="B238" s="8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8" t="n"/>
    </row>
    <row r="239">
      <c r="A239" s="9" t="n">
        <v>238</v>
      </c>
      <c r="B239" s="10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10" t="n"/>
    </row>
    <row r="240">
      <c r="A240" s="7" t="n">
        <v>239</v>
      </c>
      <c r="B240" s="8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8" t="n"/>
    </row>
    <row r="241">
      <c r="A241" s="9" t="n">
        <v>240</v>
      </c>
      <c r="B241" s="10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10" t="n"/>
    </row>
    <row r="242">
      <c r="A242" s="7" t="n">
        <v>241</v>
      </c>
      <c r="B242" s="8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8" t="n"/>
    </row>
    <row r="243">
      <c r="A243" s="9" t="n">
        <v>242</v>
      </c>
      <c r="B243" s="10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10" t="n"/>
    </row>
    <row r="244">
      <c r="A244" s="7" t="n">
        <v>243</v>
      </c>
      <c r="B244" s="8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8" t="n"/>
    </row>
    <row r="245">
      <c r="A245" s="9" t="n">
        <v>244</v>
      </c>
      <c r="B245" s="10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10" t="n"/>
    </row>
    <row r="246">
      <c r="A246" s="7" t="n">
        <v>245</v>
      </c>
      <c r="B246" s="8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8" t="n"/>
    </row>
    <row r="247">
      <c r="A247" s="9" t="n">
        <v>246</v>
      </c>
      <c r="B247" s="10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10" t="n"/>
    </row>
    <row r="248">
      <c r="A248" s="7" t="n">
        <v>247</v>
      </c>
      <c r="B248" s="8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8" t="n"/>
    </row>
    <row r="249">
      <c r="A249" s="9" t="n">
        <v>248</v>
      </c>
      <c r="B249" s="10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10" t="n"/>
    </row>
    <row r="250">
      <c r="A250" s="7" t="n">
        <v>249</v>
      </c>
      <c r="B250" s="8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8" t="n"/>
    </row>
    <row r="251">
      <c r="A251" s="9" t="n">
        <v>250</v>
      </c>
      <c r="B251" s="10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10" t="n"/>
    </row>
    <row r="252">
      <c r="A252" s="7" t="n">
        <v>251</v>
      </c>
      <c r="B252" s="8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8" t="n"/>
    </row>
    <row r="253">
      <c r="A253" s="9" t="n">
        <v>252</v>
      </c>
      <c r="B253" s="10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10" t="n"/>
    </row>
    <row r="254">
      <c r="A254" s="7" t="n">
        <v>253</v>
      </c>
      <c r="B254" s="8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8" t="n"/>
    </row>
    <row r="255">
      <c r="A255" s="9" t="n">
        <v>254</v>
      </c>
      <c r="B255" s="10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10" t="n"/>
    </row>
    <row r="256">
      <c r="A256" s="7" t="n">
        <v>255</v>
      </c>
      <c r="B256" s="8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8" t="n"/>
    </row>
    <row r="257">
      <c r="A257" s="9" t="n">
        <v>256</v>
      </c>
      <c r="B257" s="10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10" t="n"/>
    </row>
    <row r="258">
      <c r="A258" s="7" t="n">
        <v>257</v>
      </c>
      <c r="B258" s="8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8" t="n"/>
    </row>
    <row r="259">
      <c r="A259" s="9" t="n">
        <v>258</v>
      </c>
      <c r="B259" s="10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10" t="n"/>
    </row>
    <row r="260">
      <c r="A260" s="7" t="n">
        <v>259</v>
      </c>
      <c r="B260" s="8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8" t="n"/>
    </row>
    <row r="261">
      <c r="A261" s="9" t="n">
        <v>260</v>
      </c>
      <c r="B261" s="10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10" t="n"/>
    </row>
    <row r="262">
      <c r="A262" s="7" t="n">
        <v>261</v>
      </c>
      <c r="B262" s="8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8" t="n"/>
    </row>
    <row r="263">
      <c r="A263" s="9" t="n">
        <v>262</v>
      </c>
      <c r="B263" s="10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10" t="n"/>
    </row>
    <row r="264">
      <c r="A264" s="7" t="n">
        <v>263</v>
      </c>
      <c r="B264" s="8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8" t="n"/>
    </row>
    <row r="265">
      <c r="A265" s="9" t="n">
        <v>264</v>
      </c>
      <c r="B265" s="10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10" t="n"/>
    </row>
    <row r="266">
      <c r="A266" s="7" t="n">
        <v>265</v>
      </c>
      <c r="B266" s="8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8" t="n"/>
    </row>
    <row r="267">
      <c r="A267" s="9" t="n">
        <v>266</v>
      </c>
      <c r="B267" s="10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10" t="n"/>
    </row>
    <row r="268">
      <c r="A268" s="7" t="n">
        <v>267</v>
      </c>
      <c r="B268" s="8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8" t="n"/>
    </row>
    <row r="269">
      <c r="A269" s="9" t="n">
        <v>268</v>
      </c>
      <c r="B269" s="10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10" t="n"/>
    </row>
    <row r="270">
      <c r="A270" s="7" t="n">
        <v>269</v>
      </c>
      <c r="B270" s="8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8" t="n"/>
    </row>
    <row r="271">
      <c r="A271" s="9" t="n">
        <v>270</v>
      </c>
      <c r="B271" s="10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10" t="n"/>
    </row>
    <row r="272">
      <c r="A272" s="7" t="n">
        <v>271</v>
      </c>
      <c r="B272" s="8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8" t="n"/>
    </row>
    <row r="273">
      <c r="A273" s="9" t="n">
        <v>272</v>
      </c>
      <c r="B273" s="10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10" t="n"/>
    </row>
    <row r="274">
      <c r="A274" s="7" t="n">
        <v>273</v>
      </c>
      <c r="B274" s="8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8" t="n"/>
    </row>
    <row r="275">
      <c r="A275" s="9" t="n">
        <v>274</v>
      </c>
      <c r="B275" s="10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10" t="n"/>
    </row>
    <row r="276">
      <c r="A276" s="7" t="n">
        <v>275</v>
      </c>
      <c r="B276" s="8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8" t="n"/>
    </row>
    <row r="277">
      <c r="A277" s="9" t="n">
        <v>276</v>
      </c>
      <c r="B277" s="10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10" t="n"/>
    </row>
    <row r="278">
      <c r="A278" s="7" t="n">
        <v>277</v>
      </c>
      <c r="B278" s="8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8" t="n"/>
    </row>
    <row r="279">
      <c r="A279" s="9" t="n">
        <v>278</v>
      </c>
      <c r="B279" s="10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10" t="n"/>
    </row>
    <row r="280">
      <c r="A280" s="7" t="n">
        <v>279</v>
      </c>
      <c r="B280" s="8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8" t="n"/>
    </row>
    <row r="281">
      <c r="A281" s="9" t="n">
        <v>280</v>
      </c>
      <c r="B281" s="10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10" t="n"/>
    </row>
    <row r="282">
      <c r="A282" s="7" t="n">
        <v>281</v>
      </c>
      <c r="B282" s="8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8" t="n"/>
    </row>
    <row r="283">
      <c r="A283" s="9" t="n">
        <v>282</v>
      </c>
      <c r="B283" s="10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10" t="n"/>
    </row>
    <row r="284">
      <c r="A284" s="7" t="n">
        <v>283</v>
      </c>
      <c r="B284" s="8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8" t="n"/>
    </row>
    <row r="285">
      <c r="A285" s="9" t="n">
        <v>284</v>
      </c>
      <c r="B285" s="10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10" t="n"/>
    </row>
    <row r="286">
      <c r="A286" s="7" t="n">
        <v>285</v>
      </c>
      <c r="B286" s="8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8" t="n"/>
    </row>
    <row r="287">
      <c r="A287" s="9" t="n">
        <v>286</v>
      </c>
      <c r="B287" s="10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10" t="n"/>
    </row>
    <row r="288">
      <c r="A288" s="7" t="n">
        <v>287</v>
      </c>
      <c r="B288" s="8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8" t="n"/>
    </row>
    <row r="289">
      <c r="A289" s="9" t="n">
        <v>288</v>
      </c>
      <c r="B289" s="10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10" t="n"/>
    </row>
    <row r="290">
      <c r="A290" s="7" t="n">
        <v>289</v>
      </c>
      <c r="B290" s="8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8" t="n"/>
    </row>
    <row r="291">
      <c r="A291" s="9" t="n">
        <v>290</v>
      </c>
      <c r="B291" s="10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10" t="n"/>
    </row>
    <row r="292">
      <c r="A292" s="7" t="n">
        <v>291</v>
      </c>
      <c r="B292" s="8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8" t="n"/>
    </row>
    <row r="293">
      <c r="A293" s="9" t="n">
        <v>292</v>
      </c>
      <c r="B293" s="10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10" t="n"/>
    </row>
    <row r="294">
      <c r="A294" s="7" t="n">
        <v>293</v>
      </c>
      <c r="B294" s="8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8" t="n"/>
    </row>
    <row r="295">
      <c r="A295" s="9" t="n">
        <v>294</v>
      </c>
      <c r="B295" s="10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10" t="n"/>
    </row>
    <row r="296">
      <c r="A296" s="7" t="n">
        <v>295</v>
      </c>
      <c r="B296" s="8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8" t="n"/>
    </row>
    <row r="297">
      <c r="A297" s="9" t="n">
        <v>296</v>
      </c>
      <c r="B297" s="10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10" t="n"/>
    </row>
    <row r="298">
      <c r="A298" s="7" t="n">
        <v>297</v>
      </c>
      <c r="B298" s="8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8" t="n"/>
    </row>
    <row r="299">
      <c r="A299" s="9" t="n">
        <v>298</v>
      </c>
      <c r="B299" s="10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10" t="n"/>
    </row>
    <row r="300">
      <c r="A300" s="7" t="n">
        <v>299</v>
      </c>
      <c r="B300" s="8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8" t="n"/>
    </row>
    <row r="301">
      <c r="A301" s="9" t="n">
        <v>300</v>
      </c>
      <c r="B301" s="10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10" t="n"/>
    </row>
  </sheetData>
  <autoFilter ref="A1:N301"/>
  <dataValidations count="6">
    <dataValidation sqref="C2:C301" showDropDown="0" showInputMessage="0" showErrorMessage="0" allowBlank="1" errorTitle="Valeur inconnue" error="Choisissez une valeur de la liste." type="list">
      <formula1>"test.dg,test.daf,test.comptable,test.exploitation,test.parc,test.chantiers,test.immobilier,test.consultant,test.admin,test.porteur"</formula1>
    </dataValidation>
    <dataValidation sqref="D2:D301" showDropDown="0" showInputMessage="0" showErrorMessage="0" allowBlank="1" errorTitle="Valeur inconnue" error="Choisissez une valeur de la liste." type="list">
      <formula1>"Finance,AxisPro,Rotations,Portail,Connexion"</formula1>
    </dataValidation>
    <dataValidation sqref="F2:F301" showDropDown="0" showInputMessage="0" showErrorMessage="0" allowBlank="1" errorTitle="Valeur inconnue" error="Choisissez une valeur de la liste." type="list">
      <formula1>"Anomalie,Amélioration,Manque,Question"</formula1>
    </dataValidation>
    <dataValidation sqref="J2:J301" showDropDown="0" showInputMessage="0" showErrorMessage="0" allowBlank="1" errorTitle="Valeur inconnue" error="Choisissez une valeur de la liste." type="list">
      <formula1>"Bloquant,Gênant,Mineur"</formula1>
    </dataValidation>
    <dataValidation sqref="M2:M301" showDropDown="0" showInputMessage="0" showErrorMessage="0" allowBlank="1" errorTitle="Valeur inconnue" error="Choisissez une valeur de la liste." type="list">
      <formula1>"Nouveau,Pris en compte,Corrigé en recette,Mis en production,Hors périmètre, à arbitrer,Sans suite"</formula1>
    </dataValidation>
    <dataValidation sqref="B2:B301" showDropDown="0" showInputMessage="0" showErrorMessage="0" allowBlank="1" type="date" operator="greaterThan">
      <formula1>DATE(2026,1,1)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Synthèse des retours</t>
        </is>
      </c>
    </row>
    <row r="3">
      <c r="A3" s="12" t="inlineStr">
        <is>
          <t>Type</t>
        </is>
      </c>
      <c r="B3" s="12" t="inlineStr">
        <is>
          <t>Total</t>
        </is>
      </c>
      <c r="C3" s="12" t="inlineStr">
        <is>
          <t>Bloquant</t>
        </is>
      </c>
      <c r="D3" s="12" t="inlineStr">
        <is>
          <t>Gênant</t>
        </is>
      </c>
      <c r="E3" s="12" t="inlineStr">
        <is>
          <t>Mineur</t>
        </is>
      </c>
      <c r="F3" s="12" t="inlineStr">
        <is>
          <t>Traités</t>
        </is>
      </c>
    </row>
    <row r="4">
      <c r="A4" s="13" t="inlineStr">
        <is>
          <t>Anomalie</t>
        </is>
      </c>
      <c r="B4" s="13">
        <f>COUNTIF(Retours!$F$2:$F$301,A4)</f>
        <v/>
      </c>
      <c r="C4" s="13">
        <f>COUNTIFS(Retours!$F$2:$F$301,A4,Retours!$J$2:$J$301,"Bloquant")</f>
        <v/>
      </c>
      <c r="D4" s="13">
        <f>COUNTIFS(Retours!$F$2:$F$301,A4,Retours!$J$2:$J$301,"Gênant")</f>
        <v/>
      </c>
      <c r="E4" s="13">
        <f>COUNTIFS(Retours!$F$2:$F$301,A4,Retours!$J$2:$J$301,"Mineur")</f>
        <v/>
      </c>
      <c r="F4" s="13">
        <f>COUNTIFS(Retours!$F$2:$F$301,A4,Retours!$M$2:$M$301,"Corrigé en recette")+COUNTIFS(Retours!$F$2:$F$301,A4,Retours!$M$2:$M$301,"Mis en production")</f>
        <v/>
      </c>
    </row>
    <row r="5">
      <c r="A5" s="13" t="inlineStr">
        <is>
          <t>Amélioration</t>
        </is>
      </c>
      <c r="B5" s="13">
        <f>COUNTIF(Retours!$F$2:$F$301,A5)</f>
        <v/>
      </c>
      <c r="C5" s="13">
        <f>COUNTIFS(Retours!$F$2:$F$301,A5,Retours!$J$2:$J$301,"Bloquant")</f>
        <v/>
      </c>
      <c r="D5" s="13">
        <f>COUNTIFS(Retours!$F$2:$F$301,A5,Retours!$J$2:$J$301,"Gênant")</f>
        <v/>
      </c>
      <c r="E5" s="13">
        <f>COUNTIFS(Retours!$F$2:$F$301,A5,Retours!$J$2:$J$301,"Mineur")</f>
        <v/>
      </c>
      <c r="F5" s="13">
        <f>COUNTIFS(Retours!$F$2:$F$301,A5,Retours!$M$2:$M$301,"Corrigé en recette")+COUNTIFS(Retours!$F$2:$F$301,A5,Retours!$M$2:$M$301,"Mis en production")</f>
        <v/>
      </c>
    </row>
    <row r="6">
      <c r="A6" s="13" t="inlineStr">
        <is>
          <t>Manque</t>
        </is>
      </c>
      <c r="B6" s="13">
        <f>COUNTIF(Retours!$F$2:$F$301,A6)</f>
        <v/>
      </c>
      <c r="C6" s="13">
        <f>COUNTIFS(Retours!$F$2:$F$301,A6,Retours!$J$2:$J$301,"Bloquant")</f>
        <v/>
      </c>
      <c r="D6" s="13">
        <f>COUNTIFS(Retours!$F$2:$F$301,A6,Retours!$J$2:$J$301,"Gênant")</f>
        <v/>
      </c>
      <c r="E6" s="13">
        <f>COUNTIFS(Retours!$F$2:$F$301,A6,Retours!$J$2:$J$301,"Mineur")</f>
        <v/>
      </c>
      <c r="F6" s="13">
        <f>COUNTIFS(Retours!$F$2:$F$301,A6,Retours!$M$2:$M$301,"Corrigé en recette")+COUNTIFS(Retours!$F$2:$F$301,A6,Retours!$M$2:$M$301,"Mis en production")</f>
        <v/>
      </c>
    </row>
    <row r="7">
      <c r="A7" s="13" t="inlineStr">
        <is>
          <t>Question</t>
        </is>
      </c>
      <c r="B7" s="13">
        <f>COUNTIF(Retours!$F$2:$F$301,A7)</f>
        <v/>
      </c>
      <c r="C7" s="13">
        <f>COUNTIFS(Retours!$F$2:$F$301,A7,Retours!$J$2:$J$301,"Bloquant")</f>
        <v/>
      </c>
      <c r="D7" s="13">
        <f>COUNTIFS(Retours!$F$2:$F$301,A7,Retours!$J$2:$J$301,"Gênant")</f>
        <v/>
      </c>
      <c r="E7" s="13">
        <f>COUNTIFS(Retours!$F$2:$F$301,A7,Retours!$J$2:$J$301,"Mineur")</f>
        <v/>
      </c>
      <c r="F7" s="13">
        <f>COUNTIFS(Retours!$F$2:$F$301,A7,Retours!$M$2:$M$301,"Corrigé en recette")+COUNTIFS(Retours!$F$2:$F$301,A7,Retours!$M$2:$M$301,"Mis en production")</f>
        <v/>
      </c>
    </row>
    <row r="9">
      <c r="A9" s="12" t="inlineStr">
        <is>
          <t>Application</t>
        </is>
      </c>
      <c r="B9" s="12" t="inlineStr">
        <is>
          <t>Total</t>
        </is>
      </c>
      <c r="C9" s="12" t="inlineStr">
        <is>
          <t>Bloquant</t>
        </is>
      </c>
      <c r="D9" s="12" t="inlineStr">
        <is>
          <t>Gênant</t>
        </is>
      </c>
      <c r="E9" s="12" t="inlineStr">
        <is>
          <t>Mineur</t>
        </is>
      </c>
      <c r="F9" s="12" t="inlineStr">
        <is>
          <t>Traités</t>
        </is>
      </c>
    </row>
    <row r="10">
      <c r="A10" s="13" t="inlineStr">
        <is>
          <t>Finance</t>
        </is>
      </c>
      <c r="B10" s="13">
        <f>COUNTIF(Retours!$D$2:$D$301,A10)</f>
        <v/>
      </c>
      <c r="C10" s="13">
        <f>COUNTIFS(Retours!$D$2:$D$301,A10,Retours!$J$2:$J$301,"Bloquant")</f>
        <v/>
      </c>
      <c r="D10" s="13">
        <f>COUNTIFS(Retours!$D$2:$D$301,A10,Retours!$J$2:$J$301,"Gênant")</f>
        <v/>
      </c>
      <c r="E10" s="13">
        <f>COUNTIFS(Retours!$D$2:$D$301,A10,Retours!$J$2:$J$301,"Mineur")</f>
        <v/>
      </c>
      <c r="F10" s="13">
        <f>COUNTIFS(Retours!$D$2:$D$301,A10,Retours!$M$2:$M$301,"Corrigé en recette")+COUNTIFS(Retours!$D$2:$D$301,A10,Retours!$M$2:$M$301,"Mis en production")</f>
        <v/>
      </c>
    </row>
    <row r="11">
      <c r="A11" s="13" t="inlineStr">
        <is>
          <t>AxisPro</t>
        </is>
      </c>
      <c r="B11" s="13">
        <f>COUNTIF(Retours!$D$2:$D$301,A11)</f>
        <v/>
      </c>
      <c r="C11" s="13">
        <f>COUNTIFS(Retours!$D$2:$D$301,A11,Retours!$J$2:$J$301,"Bloquant")</f>
        <v/>
      </c>
      <c r="D11" s="13">
        <f>COUNTIFS(Retours!$D$2:$D$301,A11,Retours!$J$2:$J$301,"Gênant")</f>
        <v/>
      </c>
      <c r="E11" s="13">
        <f>COUNTIFS(Retours!$D$2:$D$301,A11,Retours!$J$2:$J$301,"Mineur")</f>
        <v/>
      </c>
      <c r="F11" s="13">
        <f>COUNTIFS(Retours!$D$2:$D$301,A11,Retours!$M$2:$M$301,"Corrigé en recette")+COUNTIFS(Retours!$D$2:$D$301,A11,Retours!$M$2:$M$301,"Mis en production")</f>
        <v/>
      </c>
    </row>
    <row r="12">
      <c r="A12" s="13" t="inlineStr">
        <is>
          <t>Rotations</t>
        </is>
      </c>
      <c r="B12" s="13">
        <f>COUNTIF(Retours!$D$2:$D$301,A12)</f>
        <v/>
      </c>
      <c r="C12" s="13">
        <f>COUNTIFS(Retours!$D$2:$D$301,A12,Retours!$J$2:$J$301,"Bloquant")</f>
        <v/>
      </c>
      <c r="D12" s="13">
        <f>COUNTIFS(Retours!$D$2:$D$301,A12,Retours!$J$2:$J$301,"Gênant")</f>
        <v/>
      </c>
      <c r="E12" s="13">
        <f>COUNTIFS(Retours!$D$2:$D$301,A12,Retours!$J$2:$J$301,"Mineur")</f>
        <v/>
      </c>
      <c r="F12" s="13">
        <f>COUNTIFS(Retours!$D$2:$D$301,A12,Retours!$M$2:$M$301,"Corrigé en recette")+COUNTIFS(Retours!$D$2:$D$301,A12,Retours!$M$2:$M$301,"Mis en production")</f>
        <v/>
      </c>
    </row>
    <row r="13">
      <c r="A13" s="13" t="inlineStr">
        <is>
          <t>Portail</t>
        </is>
      </c>
      <c r="B13" s="13">
        <f>COUNTIF(Retours!$D$2:$D$301,A13)</f>
        <v/>
      </c>
      <c r="C13" s="13">
        <f>COUNTIFS(Retours!$D$2:$D$301,A13,Retours!$J$2:$J$301,"Bloquant")</f>
        <v/>
      </c>
      <c r="D13" s="13">
        <f>COUNTIFS(Retours!$D$2:$D$301,A13,Retours!$J$2:$J$301,"Gênant")</f>
        <v/>
      </c>
      <c r="E13" s="13">
        <f>COUNTIFS(Retours!$D$2:$D$301,A13,Retours!$J$2:$J$301,"Mineur")</f>
        <v/>
      </c>
      <c r="F13" s="13">
        <f>COUNTIFS(Retours!$D$2:$D$301,A13,Retours!$M$2:$M$301,"Corrigé en recette")+COUNTIFS(Retours!$D$2:$D$301,A13,Retours!$M$2:$M$301,"Mis en production")</f>
        <v/>
      </c>
    </row>
    <row r="14">
      <c r="A14" s="13" t="inlineStr">
        <is>
          <t>Connexion</t>
        </is>
      </c>
      <c r="B14" s="13">
        <f>COUNTIF(Retours!$D$2:$D$301,A14)</f>
        <v/>
      </c>
      <c r="C14" s="13">
        <f>COUNTIFS(Retours!$D$2:$D$301,A14,Retours!$J$2:$J$301,"Bloquant")</f>
        <v/>
      </c>
      <c r="D14" s="13">
        <f>COUNTIFS(Retours!$D$2:$D$301,A14,Retours!$J$2:$J$301,"Gênant")</f>
        <v/>
      </c>
      <c r="E14" s="13">
        <f>COUNTIFS(Retours!$D$2:$D$301,A14,Retours!$J$2:$J$301,"Mineur")</f>
        <v/>
      </c>
      <c r="F14" s="13">
        <f>COUNTIFS(Retours!$D$2:$D$301,A14,Retours!$M$2:$M$301,"Corrigé en recette")+COUNTIFS(Retours!$D$2:$D$301,A14,Retours!$M$2:$M$301,"Mis en production")</f>
        <v/>
      </c>
    </row>
    <row r="16">
      <c r="A16" s="12" t="inlineStr">
        <is>
          <t>Compte</t>
        </is>
      </c>
      <c r="B16" s="12" t="inlineStr">
        <is>
          <t>Total</t>
        </is>
      </c>
      <c r="C16" s="12" t="inlineStr">
        <is>
          <t>Bloquant</t>
        </is>
      </c>
      <c r="D16" s="12" t="inlineStr">
        <is>
          <t>Gênant</t>
        </is>
      </c>
      <c r="E16" s="12" t="inlineStr">
        <is>
          <t>Mineur</t>
        </is>
      </c>
      <c r="F16" s="12" t="inlineStr">
        <is>
          <t>Traités</t>
        </is>
      </c>
    </row>
    <row r="17">
      <c r="A17" s="13" t="inlineStr">
        <is>
          <t>test.dg</t>
        </is>
      </c>
      <c r="B17" s="13">
        <f>COUNTIF(Retours!$C$2:$C$301,A17)</f>
        <v/>
      </c>
      <c r="C17" s="13">
        <f>COUNTIFS(Retours!$C$2:$C$301,A17,Retours!$J$2:$J$301,"Bloquant")</f>
        <v/>
      </c>
      <c r="D17" s="13">
        <f>COUNTIFS(Retours!$C$2:$C$301,A17,Retours!$J$2:$J$301,"Gênant")</f>
        <v/>
      </c>
      <c r="E17" s="13">
        <f>COUNTIFS(Retours!$C$2:$C$301,A17,Retours!$J$2:$J$301,"Mineur")</f>
        <v/>
      </c>
      <c r="F17" s="13">
        <f>COUNTIFS(Retours!$C$2:$C$301,A17,Retours!$M$2:$M$301,"Corrigé en recette")+COUNTIFS(Retours!$C$2:$C$301,A17,Retours!$M$2:$M$301,"Mis en production")</f>
        <v/>
      </c>
    </row>
    <row r="18">
      <c r="A18" s="13" t="inlineStr">
        <is>
          <t>test.daf</t>
        </is>
      </c>
      <c r="B18" s="13">
        <f>COUNTIF(Retours!$C$2:$C$301,A18)</f>
        <v/>
      </c>
      <c r="C18" s="13">
        <f>COUNTIFS(Retours!$C$2:$C$301,A18,Retours!$J$2:$J$301,"Bloquant")</f>
        <v/>
      </c>
      <c r="D18" s="13">
        <f>COUNTIFS(Retours!$C$2:$C$301,A18,Retours!$J$2:$J$301,"Gênant")</f>
        <v/>
      </c>
      <c r="E18" s="13">
        <f>COUNTIFS(Retours!$C$2:$C$301,A18,Retours!$J$2:$J$301,"Mineur")</f>
        <v/>
      </c>
      <c r="F18" s="13">
        <f>COUNTIFS(Retours!$C$2:$C$301,A18,Retours!$M$2:$M$301,"Corrigé en recette")+COUNTIFS(Retours!$C$2:$C$301,A18,Retours!$M$2:$M$301,"Mis en production")</f>
        <v/>
      </c>
    </row>
    <row r="19">
      <c r="A19" s="13" t="inlineStr">
        <is>
          <t>test.comptable</t>
        </is>
      </c>
      <c r="B19" s="13">
        <f>COUNTIF(Retours!$C$2:$C$301,A19)</f>
        <v/>
      </c>
      <c r="C19" s="13">
        <f>COUNTIFS(Retours!$C$2:$C$301,A19,Retours!$J$2:$J$301,"Bloquant")</f>
        <v/>
      </c>
      <c r="D19" s="13">
        <f>COUNTIFS(Retours!$C$2:$C$301,A19,Retours!$J$2:$J$301,"Gênant")</f>
        <v/>
      </c>
      <c r="E19" s="13">
        <f>COUNTIFS(Retours!$C$2:$C$301,A19,Retours!$J$2:$J$301,"Mineur")</f>
        <v/>
      </c>
      <c r="F19" s="13">
        <f>COUNTIFS(Retours!$C$2:$C$301,A19,Retours!$M$2:$M$301,"Corrigé en recette")+COUNTIFS(Retours!$C$2:$C$301,A19,Retours!$M$2:$M$301,"Mis en production")</f>
        <v/>
      </c>
    </row>
    <row r="20">
      <c r="A20" s="13" t="inlineStr">
        <is>
          <t>test.exploitation</t>
        </is>
      </c>
      <c r="B20" s="13">
        <f>COUNTIF(Retours!$C$2:$C$301,A20)</f>
        <v/>
      </c>
      <c r="C20" s="13">
        <f>COUNTIFS(Retours!$C$2:$C$301,A20,Retours!$J$2:$J$301,"Bloquant")</f>
        <v/>
      </c>
      <c r="D20" s="13">
        <f>COUNTIFS(Retours!$C$2:$C$301,A20,Retours!$J$2:$J$301,"Gênant")</f>
        <v/>
      </c>
      <c r="E20" s="13">
        <f>COUNTIFS(Retours!$C$2:$C$301,A20,Retours!$J$2:$J$301,"Mineur")</f>
        <v/>
      </c>
      <c r="F20" s="13">
        <f>COUNTIFS(Retours!$C$2:$C$301,A20,Retours!$M$2:$M$301,"Corrigé en recette")+COUNTIFS(Retours!$C$2:$C$301,A20,Retours!$M$2:$M$301,"Mis en production")</f>
        <v/>
      </c>
    </row>
    <row r="21">
      <c r="A21" s="13" t="inlineStr">
        <is>
          <t>test.parc</t>
        </is>
      </c>
      <c r="B21" s="13">
        <f>COUNTIF(Retours!$C$2:$C$301,A21)</f>
        <v/>
      </c>
      <c r="C21" s="13">
        <f>COUNTIFS(Retours!$C$2:$C$301,A21,Retours!$J$2:$J$301,"Bloquant")</f>
        <v/>
      </c>
      <c r="D21" s="13">
        <f>COUNTIFS(Retours!$C$2:$C$301,A21,Retours!$J$2:$J$301,"Gênant")</f>
        <v/>
      </c>
      <c r="E21" s="13">
        <f>COUNTIFS(Retours!$C$2:$C$301,A21,Retours!$J$2:$J$301,"Mineur")</f>
        <v/>
      </c>
      <c r="F21" s="13">
        <f>COUNTIFS(Retours!$C$2:$C$301,A21,Retours!$M$2:$M$301,"Corrigé en recette")+COUNTIFS(Retours!$C$2:$C$301,A21,Retours!$M$2:$M$301,"Mis en production")</f>
        <v/>
      </c>
    </row>
    <row r="22">
      <c r="A22" s="13" t="inlineStr">
        <is>
          <t>test.chantiers</t>
        </is>
      </c>
      <c r="B22" s="13">
        <f>COUNTIF(Retours!$C$2:$C$301,A22)</f>
        <v/>
      </c>
      <c r="C22" s="13">
        <f>COUNTIFS(Retours!$C$2:$C$301,A22,Retours!$J$2:$J$301,"Bloquant")</f>
        <v/>
      </c>
      <c r="D22" s="13">
        <f>COUNTIFS(Retours!$C$2:$C$301,A22,Retours!$J$2:$J$301,"Gênant")</f>
        <v/>
      </c>
      <c r="E22" s="13">
        <f>COUNTIFS(Retours!$C$2:$C$301,A22,Retours!$J$2:$J$301,"Mineur")</f>
        <v/>
      </c>
      <c r="F22" s="13">
        <f>COUNTIFS(Retours!$C$2:$C$301,A22,Retours!$M$2:$M$301,"Corrigé en recette")+COUNTIFS(Retours!$C$2:$C$301,A22,Retours!$M$2:$M$301,"Mis en production")</f>
        <v/>
      </c>
    </row>
    <row r="23">
      <c r="A23" s="13" t="inlineStr">
        <is>
          <t>test.immobilier</t>
        </is>
      </c>
      <c r="B23" s="13">
        <f>COUNTIF(Retours!$C$2:$C$301,A23)</f>
        <v/>
      </c>
      <c r="C23" s="13">
        <f>COUNTIFS(Retours!$C$2:$C$301,A23,Retours!$J$2:$J$301,"Bloquant")</f>
        <v/>
      </c>
      <c r="D23" s="13">
        <f>COUNTIFS(Retours!$C$2:$C$301,A23,Retours!$J$2:$J$301,"Gênant")</f>
        <v/>
      </c>
      <c r="E23" s="13">
        <f>COUNTIFS(Retours!$C$2:$C$301,A23,Retours!$J$2:$J$301,"Mineur")</f>
        <v/>
      </c>
      <c r="F23" s="13">
        <f>COUNTIFS(Retours!$C$2:$C$301,A23,Retours!$M$2:$M$301,"Corrigé en recette")+COUNTIFS(Retours!$C$2:$C$301,A23,Retours!$M$2:$M$301,"Mis en production")</f>
        <v/>
      </c>
    </row>
    <row r="24">
      <c r="A24" s="13" t="inlineStr">
        <is>
          <t>test.consultant</t>
        </is>
      </c>
      <c r="B24" s="13">
        <f>COUNTIF(Retours!$C$2:$C$301,A24)</f>
        <v/>
      </c>
      <c r="C24" s="13">
        <f>COUNTIFS(Retours!$C$2:$C$301,A24,Retours!$J$2:$J$301,"Bloquant")</f>
        <v/>
      </c>
      <c r="D24" s="13">
        <f>COUNTIFS(Retours!$C$2:$C$301,A24,Retours!$J$2:$J$301,"Gênant")</f>
        <v/>
      </c>
      <c r="E24" s="13">
        <f>COUNTIFS(Retours!$C$2:$C$301,A24,Retours!$J$2:$J$301,"Mineur")</f>
        <v/>
      </c>
      <c r="F24" s="13">
        <f>COUNTIFS(Retours!$C$2:$C$301,A24,Retours!$M$2:$M$301,"Corrigé en recette")+COUNTIFS(Retours!$C$2:$C$301,A24,Retours!$M$2:$M$301,"Mis en production")</f>
        <v/>
      </c>
    </row>
    <row r="25">
      <c r="A25" s="13" t="inlineStr">
        <is>
          <t>test.admin</t>
        </is>
      </c>
      <c r="B25" s="13">
        <f>COUNTIF(Retours!$C$2:$C$301,A25)</f>
        <v/>
      </c>
      <c r="C25" s="13">
        <f>COUNTIFS(Retours!$C$2:$C$301,A25,Retours!$J$2:$J$301,"Bloquant")</f>
        <v/>
      </c>
      <c r="D25" s="13">
        <f>COUNTIFS(Retours!$C$2:$C$301,A25,Retours!$J$2:$J$301,"Gênant")</f>
        <v/>
      </c>
      <c r="E25" s="13">
        <f>COUNTIFS(Retours!$C$2:$C$301,A25,Retours!$J$2:$J$301,"Mineur")</f>
        <v/>
      </c>
      <c r="F25" s="13">
        <f>COUNTIFS(Retours!$C$2:$C$301,A25,Retours!$M$2:$M$301,"Corrigé en recette")+COUNTIFS(Retours!$C$2:$C$301,A25,Retours!$M$2:$M$301,"Mis en production")</f>
        <v/>
      </c>
    </row>
    <row r="26">
      <c r="A26" s="13" t="inlineStr">
        <is>
          <t>test.porteur</t>
        </is>
      </c>
      <c r="B26" s="13">
        <f>COUNTIF(Retours!$C$2:$C$301,A26)</f>
        <v/>
      </c>
      <c r="C26" s="13">
        <f>COUNTIFS(Retours!$C$2:$C$301,A26,Retours!$J$2:$J$301,"Bloquant")</f>
        <v/>
      </c>
      <c r="D26" s="13">
        <f>COUNTIFS(Retours!$C$2:$C$301,A26,Retours!$J$2:$J$301,"Gênant")</f>
        <v/>
      </c>
      <c r="E26" s="13">
        <f>COUNTIFS(Retours!$C$2:$C$301,A26,Retours!$J$2:$J$301,"Mineur")</f>
        <v/>
      </c>
      <c r="F26" s="13">
        <f>COUNTIFS(Retours!$C$2:$C$301,A26,Retours!$M$2:$M$301,"Corrigé en recette")+COUNTIFS(Retours!$C$2:$C$301,A26,Retours!$M$2:$M$301,"Mis en production")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2026-10-21T13:48:32Z</dcterms:created>
  <dcterms:modified xmlns:dcterms="http://purl.org/dc/terms/" xmlns:xsi="http://www.w3.org/2001/XMLSchema-instance" xsi:type="dcterms:W3CDTF">2026-10-21T13:48:33Z</dcterms:modified>
</cp:coreProperties>
</file>