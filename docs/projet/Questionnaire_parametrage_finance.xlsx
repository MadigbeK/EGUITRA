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ynthèse" sheetId="3" state="visible" r:id="rId3"/>
  </sheets>
  <definedNames>
    <definedName name="_xlnm._FilterDatabase" localSheetId="1" hidden="1">'Questions'!$A$1:$K$80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142F29"/>
      <sz val="16"/>
    </font>
    <font>
      <i val="1"/>
      <color rgb="00666666"/>
    </font>
    <font>
      <b val="1"/>
      <color rgb="00FFFFFF"/>
    </font>
    <font>
      <b val="1"/>
      <color rgb="00142F29"/>
      <sz val="14"/>
    </font>
  </fonts>
  <fills count="5">
    <fill>
      <patternFill/>
    </fill>
    <fill>
      <patternFill patternType="gray125"/>
    </fill>
    <fill>
      <patternFill patternType="solid">
        <fgColor rgb="00142F29"/>
      </patternFill>
    </fill>
    <fill>
      <patternFill patternType="solid">
        <fgColor rgb="0022634C"/>
      </patternFill>
    </fill>
    <fill>
      <patternFill patternType="solid">
        <fgColor rgb="00F2F4F2"/>
      </patternFill>
    </fill>
  </fills>
  <borders count="2">
    <border>
      <left/>
      <right/>
      <top/>
      <bottom/>
      <diagonal/>
    </border>
    <border>
      <left style="thin">
        <color rgb="00D5DBD7"/>
      </left>
      <right style="thin">
        <color rgb="00D5DBD7"/>
      </right>
      <top style="thin">
        <color rgb="00D5DBD7"/>
      </top>
      <bottom style="thin">
        <color rgb="00D5DBD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Questionnaire de paramétrage : finance et comptabilité</t>
        </is>
      </c>
    </row>
    <row r="2">
      <c r="A2" s="2" t="inlineStr">
        <is>
          <t>EGUITRA GROUP SARLU et MB AxisPro Consulting · plateforme NIMOVA · E-VOLUTION XP</t>
        </is>
      </c>
    </row>
    <row r="3">
      <c r="A3" s="3" t="inlineStr"/>
    </row>
    <row r="4">
      <c r="A4" s="3" t="inlineStr">
        <is>
          <t>Chaque question fixe un réglage de la plateforme : la colonne « Pourquoi » dit lequel, la colonne « Valeur actuelle » ce qui est retenu par défaut tant que vous n'avez pas répondu.</t>
        </is>
      </c>
    </row>
    <row r="5">
      <c r="A5" s="3" t="inlineStr">
        <is>
          <t>Répondez dans la colonne « Réponse » (une phrase suffit souvent), joignez les pièces demandées, indiquez votre nom et la date.</t>
        </is>
      </c>
    </row>
    <row r="6">
      <c r="A6" s="3" t="inlineStr">
        <is>
          <t>Priorités : « Avant la reprise » bloque la reprise des données 2026 ; « Avant la production » doit être réglé avant la mise en service ; « Ajustement » peut être affiné ensuite.</t>
        </is>
      </c>
    </row>
    <row r="7">
      <c r="A7" s="3" t="inlineStr">
        <is>
          <t>Une question qui ne vous concerne pas : écrivez « sans objet ». Un doute : écrivez-le, nous en parlerons en atelier.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15" customWidth="1" min="4" max="4"/>
    <col width="18" customWidth="1" min="5" max="5"/>
    <col width="48" customWidth="1" min="6" max="6"/>
    <col width="28" customWidth="1" min="7" max="7"/>
    <col width="26" customWidth="1" min="8" max="8"/>
    <col width="60" customWidth="1" min="9" max="9"/>
    <col width="16" customWidth="1" min="10" max="10"/>
    <col width="12" customWidth="1" min="11" max="11"/>
  </cols>
  <sheetData>
    <row r="1">
      <c r="A1" s="4" t="inlineStr">
        <is>
          <t>N°</t>
        </is>
      </c>
      <c r="B1" s="4" t="inlineStr">
        <is>
          <t>Thème</t>
        </is>
      </c>
      <c r="C1" s="4" t="inlineStr">
        <is>
          <t>Question</t>
        </is>
      </c>
      <c r="D1" s="4" t="inlineStr">
        <is>
          <t>À qui</t>
        </is>
      </c>
      <c r="E1" s="4" t="inlineStr">
        <is>
          <t>Priorité</t>
        </is>
      </c>
      <c r="F1" s="4" t="inlineStr">
        <is>
          <t>Pourquoi : réglage concerné</t>
        </is>
      </c>
      <c r="G1" s="4" t="inlineStr">
        <is>
          <t>Valeur actuelle par défaut</t>
        </is>
      </c>
      <c r="H1" s="4" t="inlineStr">
        <is>
          <t>Pièce à fournir</t>
        </is>
      </c>
      <c r="I1" s="5" t="inlineStr">
        <is>
          <t>Réponse</t>
        </is>
      </c>
      <c r="J1" s="5" t="inlineStr">
        <is>
          <t>Répondu par</t>
        </is>
      </c>
      <c r="K1" s="5" t="inlineStr">
        <is>
          <t>Date</t>
        </is>
      </c>
    </row>
    <row r="2">
      <c r="A2" s="6" t="n">
        <v>1</v>
      </c>
      <c r="B2" s="6" t="inlineStr">
        <is>
          <t>Les deux sociétés et l'exercice</t>
        </is>
      </c>
      <c r="C2" s="6" t="inlineStr">
        <is>
          <t>Raison sociale exacte, forme juridique, capital, adresse, NIF, RCCM et numéro de TVA de chacune des deux sociétés ?</t>
        </is>
      </c>
      <c r="D2" s="6" t="inlineStr">
        <is>
          <t>DAF</t>
        </is>
      </c>
      <c r="E2" s="6" t="inlineStr">
        <is>
          <t>Avant la reprise</t>
        </is>
      </c>
      <c r="F2" s="6" t="inlineStr">
        <is>
          <t>Identité imprimée en tête et au pied des factures et des états financiers.</t>
        </is>
      </c>
      <c r="G2" s="6" t="inlineStr"/>
      <c r="H2" s="6" t="inlineStr">
        <is>
          <t>Extrait RCCM, attestation NIF</t>
        </is>
      </c>
      <c r="I2" s="6" t="inlineStr"/>
      <c r="J2" s="6" t="inlineStr"/>
      <c r="K2" s="7" t="inlineStr"/>
    </row>
    <row r="3">
      <c r="A3" s="8" t="n">
        <v>2</v>
      </c>
      <c r="B3" s="8" t="inlineStr">
        <is>
          <t>Les deux sociétés et l'exercice</t>
        </is>
      </c>
      <c r="C3" s="8" t="inlineStr">
        <is>
          <t>L'exercice va-t-il du 1er janvier au 31 décembre pour les deux sociétés ? MB AxisPro Consulting a démarré en février 2025 : quelle est la date de son premier exercice et a-t-il été clôturé ?</t>
        </is>
      </c>
      <c r="D3" s="8" t="inlineStr">
        <is>
          <t>DAF</t>
        </is>
      </c>
      <c r="E3" s="8" t="inlineStr">
        <is>
          <t>Avant la reprise</t>
        </is>
      </c>
      <c r="F3" s="8" t="inlineStr">
        <is>
          <t>Exercices et périodes de chaque société, bornes des états et des clôtures.</t>
        </is>
      </c>
      <c r="G3" s="8" t="inlineStr">
        <is>
          <t>Janvier à décembre</t>
        </is>
      </c>
      <c r="H3" s="8" t="inlineStr">
        <is>
          <t>Statuts, derniers états financiers</t>
        </is>
      </c>
      <c r="I3" s="8" t="inlineStr"/>
      <c r="J3" s="8" t="inlineStr"/>
      <c r="K3" s="9" t="inlineStr"/>
    </row>
    <row r="4">
      <c r="A4" s="6" t="n">
        <v>3</v>
      </c>
      <c r="B4" s="6" t="inlineStr">
        <is>
          <t>Les deux sociétés et l'exercice</t>
        </is>
      </c>
      <c r="C4" s="6" t="inlineStr">
        <is>
          <t>Quel est le régime fiscal de chaque société (réel normal, simplifié) ? Les deux sont-elles assujetties à la TVA ?</t>
        </is>
      </c>
      <c r="D4" s="6" t="inlineStr">
        <is>
          <t>DAF</t>
        </is>
      </c>
      <c r="E4" s="6" t="inlineStr">
        <is>
          <t>Avant la reprise</t>
        </is>
      </c>
      <c r="F4" s="6" t="inlineStr">
        <is>
          <t>Taxes de vente et d'achat de chaque société, déclarations à produire.</t>
        </is>
      </c>
      <c r="G4" s="6" t="inlineStr">
        <is>
          <t>TVA 18 % pour les deux</t>
        </is>
      </c>
      <c r="H4" s="6" t="inlineStr">
        <is>
          <t>Attestation de régime</t>
        </is>
      </c>
      <c r="I4" s="6" t="inlineStr"/>
      <c r="J4" s="6" t="inlineStr"/>
      <c r="K4" s="7" t="inlineStr"/>
    </row>
    <row r="5">
      <c r="A5" s="8" t="n">
        <v>4</v>
      </c>
      <c r="B5" s="8" t="inlineStr">
        <is>
          <t>Les deux sociétés et l'exercice</t>
        </is>
      </c>
      <c r="C5" s="8" t="inlineStr">
        <is>
          <t>Qui est l'expert-comptable de chaque société, et y a-t-il un commissaire aux comptes ? Qui produit la liasse fiscale (DSF) ?</t>
        </is>
      </c>
      <c r="D5" s="8" t="inlineStr">
        <is>
          <t>Direction</t>
        </is>
      </c>
      <c r="E5" s="8" t="inlineStr">
        <is>
          <t>Avant la reprise</t>
        </is>
      </c>
      <c r="F5" s="8" t="inlineStr">
        <is>
          <t>Validation du plan de comptes et des balances de reprise ; format des états annuels.</t>
        </is>
      </c>
      <c r="G5" s="8" t="inlineStr"/>
      <c r="H5" s="8" t="inlineStr">
        <is>
          <t>Coordonnées</t>
        </is>
      </c>
      <c r="I5" s="8" t="inlineStr"/>
      <c r="J5" s="8" t="inlineStr"/>
      <c r="K5" s="9" t="inlineStr"/>
    </row>
    <row r="6">
      <c r="A6" s="6" t="n">
        <v>5</v>
      </c>
      <c r="B6" s="6" t="inlineStr">
        <is>
          <t>Les deux sociétés et l'exercice</t>
        </is>
      </c>
      <c r="C6" s="6" t="inlineStr">
        <is>
          <t>Qui saisit, qui contrôle, qui approuve et qui paie, pour chaque société ? Une même personne cumule-t-elle plusieurs de ces rôles ?</t>
        </is>
      </c>
      <c r="D6" s="6" t="inlineStr">
        <is>
          <t>DAF</t>
        </is>
      </c>
      <c r="E6" s="6" t="inlineStr">
        <is>
          <t>Avant la production</t>
        </is>
      </c>
      <c r="F6" s="6" t="inlineStr">
        <is>
          <t>Profils des utilisateurs, circuit d'approbation, séparation des tâches (personne n'approuve sa propre pièce).</t>
        </is>
      </c>
      <c r="G6" s="6" t="inlineStr"/>
      <c r="H6" s="6" t="inlineStr">
        <is>
          <t>Organigramme du service</t>
        </is>
      </c>
      <c r="I6" s="6" t="inlineStr"/>
      <c r="J6" s="6" t="inlineStr"/>
      <c r="K6" s="7" t="inlineStr"/>
    </row>
    <row r="7">
      <c r="A7" s="8" t="n">
        <v>6</v>
      </c>
      <c r="B7" s="8" t="inlineStr">
        <is>
          <t>Les deux sociétés et l'exercice</t>
        </is>
      </c>
      <c r="C7" s="8" t="inlineStr">
        <is>
          <t>Les salariés sont-ils propres à chaque société ou partagés ? Par quelle société le directeur général et l'équipe finance sont-ils rémunérés ?</t>
        </is>
      </c>
      <c r="D7" s="8" t="inlineStr">
        <is>
          <t>DAF</t>
        </is>
      </c>
      <c r="E7" s="8" t="inlineStr">
        <is>
          <t>Avant la production</t>
        </is>
      </c>
      <c r="F7" s="8" t="inlineStr">
        <is>
          <t>Répartition des charges de personnel et refacturations entre sociétés.</t>
        </is>
      </c>
      <c r="G7" s="8" t="inlineStr"/>
      <c r="H7" s="8" t="inlineStr"/>
      <c r="I7" s="8" t="inlineStr"/>
      <c r="J7" s="8" t="inlineStr"/>
      <c r="K7" s="9" t="inlineStr"/>
    </row>
    <row r="8">
      <c r="A8" s="6" t="n">
        <v>7</v>
      </c>
      <c r="B8" s="6" t="inlineStr">
        <is>
          <t>Opérations entre EGUITRA GROUP et MB AxisPro Consulting</t>
        </is>
      </c>
      <c r="C8" s="6" t="inlineStr">
        <is>
          <t>Le bâtiment commun appartient-il à l'une des sociétés ou est-il loué ? Qui paie loyer, électricité, eau, internet, gardiennage, et l'autre société en rembourse-t-elle une part ? Selon quelle clé ?</t>
        </is>
      </c>
      <c r="D8" s="6" t="inlineStr">
        <is>
          <t>DAF et comptable</t>
        </is>
      </c>
      <c r="E8" s="6" t="inlineStr">
        <is>
          <t>Avant la production</t>
        </is>
      </c>
      <c r="F8" s="6" t="inlineStr">
        <is>
          <t>Refacturation des frais communs : comptes 18x ou 45x, écritures périodiques, analytique.</t>
        </is>
      </c>
      <c r="G8" s="6" t="inlineStr">
        <is>
          <t>Aucune refacturation paramétrée</t>
        </is>
      </c>
      <c r="H8" s="6" t="inlineStr">
        <is>
          <t>Bail, factures types</t>
        </is>
      </c>
      <c r="I8" s="6" t="inlineStr"/>
      <c r="J8" s="6" t="inlineStr"/>
      <c r="K8" s="7" t="inlineStr"/>
    </row>
    <row r="9">
      <c r="A9" s="8" t="n">
        <v>8</v>
      </c>
      <c r="B9" s="8" t="inlineStr">
        <is>
          <t>Opérations entre EGUITRA GROUP et MB AxisPro Consulting</t>
        </is>
      </c>
      <c r="C9" s="8" t="inlineStr">
        <is>
          <t>Le temps du directeur général, de la finance, du secrétariat ou des véhicules est-il refacturé d'une société à l'autre (frais de gestion) ? Existe-t-il une convention ?</t>
        </is>
      </c>
      <c r="D9" s="8" t="inlineStr">
        <is>
          <t>Direction</t>
        </is>
      </c>
      <c r="E9" s="8" t="inlineStr">
        <is>
          <t>Avant la production</t>
        </is>
      </c>
      <c r="F9" s="8" t="inlineStr">
        <is>
          <t>Facturation intragroupe et éliminations dans la vue consolidée.</t>
        </is>
      </c>
      <c r="G9" s="8" t="inlineStr"/>
      <c r="H9" s="8" t="inlineStr">
        <is>
          <t>Convention de prestations</t>
        </is>
      </c>
      <c r="I9" s="8" t="inlineStr"/>
      <c r="J9" s="8" t="inlineStr"/>
      <c r="K9" s="9" t="inlineStr"/>
    </row>
    <row r="10">
      <c r="A10" s="6" t="n">
        <v>9</v>
      </c>
      <c r="B10" s="6" t="inlineStr">
        <is>
          <t>Opérations entre EGUITRA GROUP et MB AxisPro Consulting</t>
        </is>
      </c>
      <c r="C10" s="6" t="inlineStr">
        <is>
          <t>Y a-t-il des prêts, avances ou comptes courants entre les deux sociétés ? Avec quels taux et quelle convention de trésorerie ?</t>
        </is>
      </c>
      <c r="D10" s="6" t="inlineStr">
        <is>
          <t>DAF</t>
        </is>
      </c>
      <c r="E10" s="6" t="inlineStr">
        <is>
          <t>Avant la reprise</t>
        </is>
      </c>
      <c r="F10" s="6" t="inlineStr">
        <is>
          <t>Comptes de liaison entre sociétés, soldes de reprise, éliminations.</t>
        </is>
      </c>
      <c r="G10" s="6" t="inlineStr"/>
      <c r="H10" s="6" t="inlineStr">
        <is>
          <t>Conventions, soldes au 31/12/2025</t>
        </is>
      </c>
      <c r="I10" s="6" t="inlineStr"/>
      <c r="J10" s="6" t="inlineStr"/>
      <c r="K10" s="7" t="inlineStr"/>
    </row>
    <row r="11">
      <c r="A11" s="8" t="n">
        <v>10</v>
      </c>
      <c r="B11" s="8" t="inlineStr">
        <is>
          <t>Opérations entre EGUITRA GROUP et MB AxisPro Consulting</t>
        </is>
      </c>
      <c r="C11" s="8" t="inlineStr">
        <is>
          <t>MB AxisPro Consulting réalise-t-elle des prestations pour EGUITRA GROUP (audit des transporteurs, formation des chauffeurs, conseil) ? Sont-elles facturées ?</t>
        </is>
      </c>
      <c r="D11" s="8" t="inlineStr">
        <is>
          <t>Direction</t>
        </is>
      </c>
      <c r="E11" s="8" t="inlineStr">
        <is>
          <t>Avant la production</t>
        </is>
      </c>
      <c r="F11" s="8" t="inlineStr">
        <is>
          <t>Ventes et achats réciproques à éliminer de la vue « Groupe consolidé ».</t>
        </is>
      </c>
      <c r="G11" s="8" t="inlineStr"/>
      <c r="H11" s="8" t="inlineStr"/>
      <c r="I11" s="8" t="inlineStr"/>
      <c r="J11" s="8" t="inlineStr"/>
      <c r="K11" s="9" t="inlineStr"/>
    </row>
    <row r="12">
      <c r="A12" s="6" t="n">
        <v>11</v>
      </c>
      <c r="B12" s="6" t="inlineStr">
        <is>
          <t>Opérations entre EGUITRA GROUP et MB AxisPro Consulting</t>
        </is>
      </c>
      <c r="C12" s="6" t="inlineStr">
        <is>
          <t>Quels sont les liens en capital entre les deux sociétés (même actionnaire, participation de l'une dans l'autre) ?</t>
        </is>
      </c>
      <c r="D12" s="6" t="inlineStr">
        <is>
          <t>Direction</t>
        </is>
      </c>
      <c r="E12" s="6" t="inlineStr">
        <is>
          <t>Avant la production</t>
        </is>
      </c>
      <c r="F12" s="6" t="inlineStr">
        <is>
          <t>Nature de la vue consolidée : consolidation comptable avec éliminations, ou simple combinaison des deux sociétés.</t>
        </is>
      </c>
      <c r="G12" s="6" t="inlineStr">
        <is>
          <t>Simple addition des deux sociétés</t>
        </is>
      </c>
      <c r="H12" s="6" t="inlineStr">
        <is>
          <t>Répartition du capital</t>
        </is>
      </c>
      <c r="I12" s="6" t="inlineStr"/>
      <c r="J12" s="6" t="inlineStr"/>
      <c r="K12" s="7" t="inlineStr"/>
    </row>
    <row r="13">
      <c r="A13" s="8" t="n">
        <v>12</v>
      </c>
      <c r="B13" s="8" t="inlineStr">
        <is>
          <t>Opérations entre EGUITRA GROUP et MB AxisPro Consulting</t>
        </is>
      </c>
      <c r="C13" s="8" t="inlineStr">
        <is>
          <t>Pour la vue « Groupe consolidé », la direction attend-elle l'élimination des opérations entre les deux sociétés (ventes, prêts, refacturations), ou une simple addition suffit-elle ?</t>
        </is>
      </c>
      <c r="D13" s="8" t="inlineStr">
        <is>
          <t>Direction</t>
        </is>
      </c>
      <c r="E13" s="8" t="inlineStr">
        <is>
          <t>Avant la production</t>
        </is>
      </c>
      <c r="F13" s="8" t="inlineStr">
        <is>
          <t>Calcul de la vue consolidée du tableau de bord et du rapport mensuel.</t>
        </is>
      </c>
      <c r="G13" s="8" t="inlineStr">
        <is>
          <t>Simple addition</t>
        </is>
      </c>
      <c r="H13" s="8" t="inlineStr"/>
      <c r="I13" s="8" t="inlineStr"/>
      <c r="J13" s="8" t="inlineStr"/>
      <c r="K13" s="9" t="inlineStr"/>
    </row>
    <row r="14">
      <c r="A14" s="6" t="n">
        <v>13</v>
      </c>
      <c r="B14" s="6" t="inlineStr">
        <is>
          <t>Plan de comptes et analytique</t>
        </is>
      </c>
      <c r="C14" s="6" t="inlineStr">
        <is>
          <t>Utilisez-vous des sous-comptes propres au-delà du plan SYSCOHADA révisé (fournisseurs locaux et étrangers, clients pétroliers et miniers, comptes de charges détaillés) ? Pouvez-vous transmettre le plan utilisé en 2026 ?</t>
        </is>
      </c>
      <c r="D14" s="6" t="inlineStr">
        <is>
          <t>Comptable</t>
        </is>
      </c>
      <c r="E14" s="6" t="inlineStr">
        <is>
          <t>Avant la reprise</t>
        </is>
      </c>
      <c r="F14" s="6" t="inlineStr">
        <is>
          <t>Plan de comptes de chaque société, correspondance avec le classeur pour la reprise.</t>
        </is>
      </c>
      <c r="G14" s="6" t="inlineStr">
        <is>
          <t>Plan SYSCOHADA Guinée standard</t>
        </is>
      </c>
      <c r="H14" s="6" t="inlineStr">
        <is>
          <t>Plan de comptes 2026</t>
        </is>
      </c>
      <c r="I14" s="6" t="inlineStr"/>
      <c r="J14" s="6" t="inlineStr"/>
      <c r="K14" s="7" t="inlineStr"/>
    </row>
    <row r="15">
      <c r="A15" s="8" t="n">
        <v>14</v>
      </c>
      <c r="B15" s="8" t="inlineStr">
        <is>
          <t>Plan de comptes et analytique</t>
        </is>
      </c>
      <c r="C15" s="8" t="inlineStr">
        <is>
          <t>Les clients et fournisseurs sont-ils suivis individuellement sous un compte collectif (411, 401), ou ont-ils chacun un compte ? Les tiers étrangers sont-ils séparés ?</t>
        </is>
      </c>
      <c r="D15" s="8" t="inlineStr">
        <is>
          <t>Comptable</t>
        </is>
      </c>
      <c r="E15" s="8" t="inlineStr">
        <is>
          <t>Avant la reprise</t>
        </is>
      </c>
      <c r="F15" s="8" t="inlineStr">
        <is>
          <t>Fiche tiers et comptes collectifs, balance âgée, relances.</t>
        </is>
      </c>
      <c r="G15" s="8" t="inlineStr">
        <is>
          <t>Comptes collectifs 411 et 401, tiers individualisés</t>
        </is>
      </c>
      <c r="H15" s="8" t="inlineStr"/>
      <c r="I15" s="8" t="inlineStr"/>
      <c r="J15" s="8" t="inlineStr"/>
      <c r="K15" s="9" t="inlineStr"/>
    </row>
    <row r="16">
      <c r="A16" s="6" t="n">
        <v>15</v>
      </c>
      <c r="B16" s="6" t="inlineStr">
        <is>
          <t>Plan de comptes et analytique</t>
        </is>
      </c>
      <c r="C16" s="6" t="inlineStr">
        <is>
          <t>Quelles sont exactement les activités d'EGUITRA GROUP à suivre en résultat (transport pétrolier, minier, conteneurs, transport du personnel, location de véhicules, taxis, BTP, immobilier, négoce de véhicules et d'engins) ?</t>
        </is>
      </c>
      <c r="D16" s="6" t="inlineStr">
        <is>
          <t>Direction</t>
        </is>
      </c>
      <c r="E16" s="6" t="inlineStr">
        <is>
          <t>Avant la reprise</t>
        </is>
      </c>
      <c r="F16" s="6" t="inlineStr">
        <is>
          <t>Axe analytique « Activité » : chiffre d'affaires et résultat par activité.</t>
        </is>
      </c>
      <c r="G16" s="6" t="inlineStr">
        <is>
          <t>Activités du classeur 2026</t>
        </is>
      </c>
      <c r="H16" s="6" t="inlineStr">
        <is>
          <t>Liste validée</t>
        </is>
      </c>
      <c r="I16" s="6" t="inlineStr"/>
      <c r="J16" s="6" t="inlineStr"/>
      <c r="K16" s="7" t="inlineStr"/>
    </row>
    <row r="17">
      <c r="A17" s="8" t="n">
        <v>16</v>
      </c>
      <c r="B17" s="8" t="inlineStr">
        <is>
          <t>Plan de comptes et analytique</t>
        </is>
      </c>
      <c r="C17" s="8" t="inlineStr">
        <is>
          <t>Le site d'EGUITRA GROUP présente aussi un pôle Agriculture et Élevage (ananas, acajou, riz, aviculture, pisciculture). Ce pôle a-t-il une activité et une comptabilité à suivre dans la plateforme ?</t>
        </is>
      </c>
      <c r="D17" s="8" t="inlineStr">
        <is>
          <t>Direction</t>
        </is>
      </c>
      <c r="E17" s="8" t="inlineStr">
        <is>
          <t>Avant la reprise</t>
        </is>
      </c>
      <c r="F17" s="8" t="inlineStr">
        <is>
          <t>Activité analytique supplémentaire ; un suivi métier propre à l'agriculture serait une évolution à chiffrer.</t>
        </is>
      </c>
      <c r="G17" s="8" t="inlineStr">
        <is>
          <t>Non prévu</t>
        </is>
      </c>
      <c r="H17" s="8" t="inlineStr"/>
      <c r="I17" s="8" t="inlineStr"/>
      <c r="J17" s="8" t="inlineStr"/>
      <c r="K17" s="9" t="inlineStr"/>
    </row>
    <row r="18">
      <c r="A18" s="6" t="n">
        <v>17</v>
      </c>
      <c r="B18" s="6" t="inlineStr">
        <is>
          <t>Plan de comptes et analytique</t>
        </is>
      </c>
      <c r="C18" s="6" t="inlineStr">
        <is>
          <t>Quelles activités de MB AxisPro Consulting suivre séparément (gestion de projets, formation et coaching, conseil, audit des transporteurs, certification) ?</t>
        </is>
      </c>
      <c r="D18" s="6" t="inlineStr">
        <is>
          <t>Direction</t>
        </is>
      </c>
      <c r="E18" s="6" t="inlineStr">
        <is>
          <t>Avant la production</t>
        </is>
      </c>
      <c r="F18" s="6" t="inlineStr">
        <is>
          <t>Axe « Activité » du cabinet ; aujourd'hui une seule activité.</t>
        </is>
      </c>
      <c r="G18" s="6" t="inlineStr">
        <is>
          <t>« Conseil et accompagnement de projets »</t>
        </is>
      </c>
      <c r="H18" s="6" t="inlineStr"/>
      <c r="I18" s="6" t="inlineStr"/>
      <c r="J18" s="6" t="inlineStr"/>
      <c r="K18" s="7" t="inlineStr"/>
    </row>
    <row r="19">
      <c r="A19" s="8" t="n">
        <v>18</v>
      </c>
      <c r="B19" s="8" t="inlineStr">
        <is>
          <t>Plan de comptes et analytique</t>
        </is>
      </c>
      <c r="C19" s="8" t="inlineStr">
        <is>
          <t>Quels sont les centres de coût (neuf dans le classeur) et leurs responsables ? Les frais généraux sont-ils répartis entre activités, et selon quelle clé ?</t>
        </is>
      </c>
      <c r="D19" s="8" t="inlineStr">
        <is>
          <t>DAF</t>
        </is>
      </c>
      <c r="E19" s="8" t="inlineStr">
        <is>
          <t>Avant la reprise</t>
        </is>
      </c>
      <c r="F19" s="8" t="inlineStr">
        <is>
          <t>Axe « Centre de coût », répartition des charges communes, rentabilité par activité.</t>
        </is>
      </c>
      <c r="G19" s="8" t="inlineStr"/>
      <c r="H19" s="8" t="inlineStr">
        <is>
          <t>Liste et clés de répartition</t>
        </is>
      </c>
      <c r="I19" s="8" t="inlineStr"/>
      <c r="J19" s="8" t="inlineStr"/>
      <c r="K19" s="9" t="inlineStr"/>
    </row>
    <row r="20">
      <c r="A20" s="6" t="n">
        <v>19</v>
      </c>
      <c r="B20" s="6" t="inlineStr">
        <is>
          <t>Plan de comptes et analytique</t>
        </is>
      </c>
      <c r="C20" s="6" t="inlineStr">
        <is>
          <t>Pour la rentabilité par camion, suivez-vous l'ensemble routier (tracteur et citerne ensemble) ou chaque véhicule séparément ? Quelles charges imputez-vous au camion (carburant, pneus, entretien, assurance, chauffeur, péages, amortissement) ?</t>
        </is>
      </c>
      <c r="D20" s="6" t="inlineStr">
        <is>
          <t>DAF et comptable</t>
        </is>
      </c>
      <c r="E20" s="6" t="inlineStr">
        <is>
          <t>Avant la reprise</t>
        </is>
      </c>
      <c r="F20" s="6" t="inlineStr">
        <is>
          <t>Axe « Ensemble routier » et marge par rotation, par camion, par route.</t>
        </is>
      </c>
      <c r="G20" s="6" t="inlineStr">
        <is>
          <t>Ensemble routier</t>
        </is>
      </c>
      <c r="H20" s="6" t="inlineStr">
        <is>
          <t>Liste des 15 ensembles</t>
        </is>
      </c>
      <c r="I20" s="6" t="inlineStr"/>
      <c r="J20" s="6" t="inlineStr"/>
      <c r="K20" s="7" t="inlineStr"/>
    </row>
    <row r="21">
      <c r="A21" s="8" t="n">
        <v>20</v>
      </c>
      <c r="B21" s="8" t="inlineStr">
        <is>
          <t>TVA, retenues et autres impôts</t>
        </is>
      </c>
      <c r="C21" s="8" t="inlineStr">
        <is>
          <t>Certaines ventes sont-elles exonérées de TVA ou à un taux particulier (transport pour des sociétés minières sous convention, exportations, prestations à des projets exonérés) ? Disposez-vous des attestations par client ?</t>
        </is>
      </c>
      <c r="D21" s="8" t="inlineStr">
        <is>
          <t>DAF</t>
        </is>
      </c>
      <c r="E21" s="8" t="inlineStr">
        <is>
          <t>Avant la reprise</t>
        </is>
      </c>
      <c r="F21" s="8" t="inlineStr">
        <is>
          <t>Taxes par client ou par produit, mentions d'exonération sur les factures.</t>
        </is>
      </c>
      <c r="G21" s="8" t="inlineStr">
        <is>
          <t>TVA 18 % sur toutes les ventes</t>
        </is>
      </c>
      <c r="H21" s="8" t="inlineStr">
        <is>
          <t>Attestations d'exonération</t>
        </is>
      </c>
      <c r="I21" s="8" t="inlineStr"/>
      <c r="J21" s="8" t="inlineStr"/>
      <c r="K21" s="9" t="inlineStr"/>
    </row>
    <row r="22">
      <c r="A22" s="6" t="n">
        <v>21</v>
      </c>
      <c r="B22" s="6" t="inlineStr">
        <is>
          <t>TVA, retenues et autres impôts</t>
        </is>
      </c>
      <c r="C22" s="6" t="inlineStr">
        <is>
          <t>La TVA sur vos prestations (transport, BTP, conseil) est-elle exigible à la facturation ou à l'encaissement ?</t>
        </is>
      </c>
      <c r="D22" s="6" t="inlineStr">
        <is>
          <t>DAF</t>
        </is>
      </c>
      <c r="E22" s="6" t="inlineStr">
        <is>
          <t>Avant la reprise</t>
        </is>
      </c>
      <c r="F22" s="6" t="inlineStr">
        <is>
          <t>Exigibilité de la TVA, calcul de la déclaration mensuelle.</t>
        </is>
      </c>
      <c r="G22" s="6" t="inlineStr">
        <is>
          <t>À la facturation</t>
        </is>
      </c>
      <c r="H22" s="6" t="inlineStr"/>
      <c r="I22" s="6" t="inlineStr"/>
      <c r="J22" s="6" t="inlineStr"/>
      <c r="K22" s="7" t="inlineStr"/>
    </row>
    <row r="23">
      <c r="A23" s="8" t="n">
        <v>22</v>
      </c>
      <c r="B23" s="8" t="inlineStr">
        <is>
          <t>TVA, retenues et autres impôts</t>
        </is>
      </c>
      <c r="C23" s="8" t="inlineStr">
        <is>
          <t>Avez-vous des activités hors champ ou exonérées qui imposent un prorata de déduction de la TVA ?</t>
        </is>
      </c>
      <c r="D23" s="8" t="inlineStr">
        <is>
          <t>DAF</t>
        </is>
      </c>
      <c r="E23" s="8" t="inlineStr">
        <is>
          <t>Avant la production</t>
        </is>
      </c>
      <c r="F23" s="8" t="inlineStr">
        <is>
          <t>Prorata de déduction de la TVA sur achats.</t>
        </is>
      </c>
      <c r="G23" s="8" t="inlineStr">
        <is>
          <t>Aucun prorata</t>
        </is>
      </c>
      <c r="H23" s="8" t="inlineStr"/>
      <c r="I23" s="8" t="inlineStr"/>
      <c r="J23" s="8" t="inlineStr"/>
      <c r="K23" s="9" t="inlineStr"/>
    </row>
    <row r="24">
      <c r="A24" s="6" t="n">
        <v>23</v>
      </c>
      <c r="B24" s="6" t="inlineStr">
        <is>
          <t>TVA, retenues et autres impôts</t>
        </is>
      </c>
      <c r="C24" s="6" t="inlineStr">
        <is>
          <t>Quelles TVA d'achat ne sont pas récupérables chez vous (carburant, véhicules de tourisme, réception, cadeaux) ?</t>
        </is>
      </c>
      <c r="D24" s="6" t="inlineStr">
        <is>
          <t>Comptable</t>
        </is>
      </c>
      <c r="E24" s="6" t="inlineStr">
        <is>
          <t>Avant la reprise</t>
        </is>
      </c>
      <c r="F24" s="6" t="inlineStr">
        <is>
          <t>Taxes d'achat non déductibles par catégorie de dépense.</t>
        </is>
      </c>
      <c r="G24" s="6" t="inlineStr">
        <is>
          <t>TVA déductible par défaut</t>
        </is>
      </c>
      <c r="H24" s="6" t="inlineStr"/>
      <c r="I24" s="6" t="inlineStr"/>
      <c r="J24" s="6" t="inlineStr"/>
      <c r="K24" s="7" t="inlineStr"/>
    </row>
    <row r="25">
      <c r="A25" s="8" t="n">
        <v>24</v>
      </c>
      <c r="B25" s="8" t="inlineStr">
        <is>
          <t>TVA, retenues et autres impôts</t>
        </is>
      </c>
      <c r="C25" s="8" t="inlineStr">
        <is>
          <t>Quelles retenues à la source pratiquez-vous comme payeur (prestataires non domiciliés, loyers, prestations de services), et lesquelles vos clients opèrent-ils sur vos factures ? Natures, taux, comptes, calendrier de reversement ?</t>
        </is>
      </c>
      <c r="D25" s="8" t="inlineStr">
        <is>
          <t>DAF</t>
        </is>
      </c>
      <c r="E25" s="8" t="inlineStr">
        <is>
          <t>Avant la reprise</t>
        </is>
      </c>
      <c r="F25" s="8" t="inlineStr">
        <is>
          <t>Écran Fiscalité &gt; Retenues : chaque retenue est créée avec sa nature et son taux.</t>
        </is>
      </c>
      <c r="G25" s="8" t="inlineStr">
        <is>
          <t>Aucune retenue créée</t>
        </is>
      </c>
      <c r="H25" s="8" t="inlineStr">
        <is>
          <t>Exemples de déclarations</t>
        </is>
      </c>
      <c r="I25" s="8" t="inlineStr"/>
      <c r="J25" s="8" t="inlineStr"/>
      <c r="K25" s="9" t="inlineStr"/>
    </row>
    <row r="26">
      <c r="A26" s="6" t="n">
        <v>25</v>
      </c>
      <c r="B26" s="6" t="inlineStr">
        <is>
          <t>TVA, retenues et autres impôts</t>
        </is>
      </c>
      <c r="C26" s="6" t="inlineStr">
        <is>
          <t>Quels autres impôts et taxes payez-vous (impôt minimum forfaitaire, acomptes d'impôt sur les sociétés, contribution des patentes, contribution foncière, taxes sur salaires) ? Avec quel calendrier ?</t>
        </is>
      </c>
      <c r="D26" s="6" t="inlineStr">
        <is>
          <t>DAF</t>
        </is>
      </c>
      <c r="E26" s="6" t="inlineStr">
        <is>
          <t>Avant la production</t>
        </is>
      </c>
      <c r="F26" s="6" t="inlineStr">
        <is>
          <t>Échéancier fiscal, alertes et comptes de charges et de dettes fiscales.</t>
        </is>
      </c>
      <c r="G26" s="6" t="inlineStr"/>
      <c r="H26" s="6" t="inlineStr">
        <is>
          <t>Calendrier fiscal</t>
        </is>
      </c>
      <c r="I26" s="6" t="inlineStr"/>
      <c r="J26" s="6" t="inlineStr"/>
      <c r="K26" s="7" t="inlineStr"/>
    </row>
    <row r="27">
      <c r="A27" s="8" t="n">
        <v>26</v>
      </c>
      <c r="B27" s="8" t="inlineStr">
        <is>
          <t>TVA, retenues et autres impôts</t>
        </is>
      </c>
      <c r="C27" s="8" t="inlineStr">
        <is>
          <t>Les sociétés bénéficient-elles d'exonérations ou de régimes particuliers (code des investissements, convention minière, zone franche) ?</t>
        </is>
      </c>
      <c r="D27" s="8" t="inlineStr">
        <is>
          <t>Direction</t>
        </is>
      </c>
      <c r="E27" s="8" t="inlineStr">
        <is>
          <t>Avant la reprise</t>
        </is>
      </c>
      <c r="F27" s="8" t="inlineStr">
        <is>
          <t>Taxes et mentions particulières.</t>
        </is>
      </c>
      <c r="G27" s="8" t="inlineStr"/>
      <c r="H27" s="8" t="inlineStr">
        <is>
          <t>Agréments</t>
        </is>
      </c>
      <c r="I27" s="8" t="inlineStr"/>
      <c r="J27" s="8" t="inlineStr"/>
      <c r="K27" s="9" t="inlineStr"/>
    </row>
    <row r="28">
      <c r="A28" s="6" t="n">
        <v>27</v>
      </c>
      <c r="B28" s="6" t="inlineStr">
        <is>
          <t>TVA, retenues et autres impôts</t>
        </is>
      </c>
      <c r="C28" s="6" t="inlineStr">
        <is>
          <t>Sous quelle forme déposez-vous les déclarations de TVA et de retenues (formulaire, télédéclaration) ? Quelles annexes l'administration ou l'auditeur demandent-ils ?</t>
        </is>
      </c>
      <c r="D28" s="6" t="inlineStr">
        <is>
          <t>Comptable</t>
        </is>
      </c>
      <c r="E28" s="6" t="inlineStr">
        <is>
          <t>Avant la production</t>
        </is>
      </c>
      <c r="F28" s="6" t="inlineStr">
        <is>
          <t>Format de la déclaration de TVA et des exports pour l'auditeur.</t>
        </is>
      </c>
      <c r="G28" s="6" t="inlineStr">
        <is>
          <t>Déclaration de TVA du mois et export Excel</t>
        </is>
      </c>
      <c r="H28" s="6" t="inlineStr">
        <is>
          <t>Dernière déclaration déposée</t>
        </is>
      </c>
      <c r="I28" s="6" t="inlineStr"/>
      <c r="J28" s="6" t="inlineStr"/>
      <c r="K28" s="7" t="inlineStr"/>
    </row>
    <row r="29">
      <c r="A29" s="8" t="n">
        <v>28</v>
      </c>
      <c r="B29" s="8" t="inlineStr">
        <is>
          <t>Ventes et facturation</t>
        </is>
      </c>
      <c r="C29" s="8" t="inlineStr">
        <is>
          <t>Quelle numérotation des factures voulez-vous (préfixe par société, par activité, remise à zéro chaque année) ? Quel est le dernier numéro émis en 2026 pour chaque série ?</t>
        </is>
      </c>
      <c r="D29" s="8" t="inlineStr">
        <is>
          <t>Comptable</t>
        </is>
      </c>
      <c r="E29" s="8" t="inlineStr">
        <is>
          <t>Avant la reprise</t>
        </is>
      </c>
      <c r="F29" s="8" t="inlineStr">
        <is>
          <t>Séquences des journaux de vente, continuité de la numérotation après la bascule.</t>
        </is>
      </c>
      <c r="G29" s="8" t="inlineStr">
        <is>
          <t>Une série par société</t>
        </is>
      </c>
      <c r="H29" s="8" t="inlineStr">
        <is>
          <t>Dernière facture émise</t>
        </is>
      </c>
      <c r="I29" s="8" t="inlineStr"/>
      <c r="J29" s="8" t="inlineStr"/>
      <c r="K29" s="9" t="inlineStr"/>
    </row>
    <row r="30">
      <c r="A30" s="6" t="n">
        <v>29</v>
      </c>
      <c r="B30" s="6" t="inlineStr">
        <is>
          <t>Ventes et facturation</t>
        </is>
      </c>
      <c r="C30" s="6" t="inlineStr">
        <is>
          <t>Quelles mentions doivent figurer sur vos factures (conditions de paiement, pénalités de retard, coordonnées bancaires, NIF du client, bon de commande) ? Pouvez-vous fournir un modèle actuel ?</t>
        </is>
      </c>
      <c r="D30" s="6" t="inlineStr">
        <is>
          <t>Comptable</t>
        </is>
      </c>
      <c r="E30" s="6" t="inlineStr">
        <is>
          <t>Avant la production</t>
        </is>
      </c>
      <c r="F30" s="6" t="inlineStr">
        <is>
          <t>Modèle de facture imprimé par la plateforme.</t>
        </is>
      </c>
      <c r="G30" s="6" t="inlineStr">
        <is>
          <t>Identité, NIF et RCCM au pied</t>
        </is>
      </c>
      <c r="H30" s="6" t="inlineStr">
        <is>
          <t>Facture type</t>
        </is>
      </c>
      <c r="I30" s="6" t="inlineStr"/>
      <c r="J30" s="6" t="inlineStr"/>
      <c r="K30" s="7" t="inlineStr"/>
    </row>
    <row r="31">
      <c r="A31" s="8" t="n">
        <v>30</v>
      </c>
      <c r="B31" s="8" t="inlineStr">
        <is>
          <t>Ventes et facturation</t>
        </is>
      </c>
      <c r="C31" s="8" t="inlineStr">
        <is>
          <t>Quels délais de paiement accordez-vous, par client ou en standard (comptant, 30, 45, 60 jours) ?</t>
        </is>
      </c>
      <c r="D31" s="8" t="inlineStr">
        <is>
          <t>DAF</t>
        </is>
      </c>
      <c r="E31" s="8" t="inlineStr">
        <is>
          <t>Avant la reprise</t>
        </is>
      </c>
      <c r="F31" s="8" t="inlineStr">
        <is>
          <t>Conditions de paiement des clients, échéances, balance âgée et relances.</t>
        </is>
      </c>
      <c r="G31" s="8" t="inlineStr"/>
      <c r="H31" s="8" t="inlineStr">
        <is>
          <t>Liste des clients et délais</t>
        </is>
      </c>
      <c r="I31" s="8" t="inlineStr"/>
      <c r="J31" s="8" t="inlineStr"/>
      <c r="K31" s="9" t="inlineStr"/>
    </row>
    <row r="32">
      <c r="A32" s="6" t="n">
        <v>31</v>
      </c>
      <c r="B32" s="6" t="inlineStr">
        <is>
          <t>Ventes et facturation</t>
        </is>
      </c>
      <c r="C32" s="6" t="inlineStr">
        <is>
          <t>Transport pétrolier : facturez-vous le volume chargé ou le volume livré, en litres ambiants ou corrigés à 15 °C ? Quelle tolérance de manquant acceptez-vous, et le manquant est-il refacturé au client ou retenu au chauffeur ?</t>
        </is>
      </c>
      <c r="D32" s="6" t="inlineStr">
        <is>
          <t>DAF et comptable</t>
        </is>
      </c>
      <c r="E32" s="6" t="inlineStr">
        <is>
          <t>Avant la reprise</t>
        </is>
      </c>
      <c r="F32" s="6" t="inlineStr">
        <is>
          <t>Base de facturation des rotations, traitement des écarts de volume.</t>
        </is>
      </c>
      <c r="G32" s="6" t="inlineStr">
        <is>
          <t>Volume livré, sinon volume chargé</t>
        </is>
      </c>
      <c r="H32" s="6" t="inlineStr">
        <is>
          <t>Contrat type d'un distributeur</t>
        </is>
      </c>
      <c r="I32" s="6" t="inlineStr"/>
      <c r="J32" s="6" t="inlineStr"/>
      <c r="K32" s="7" t="inlineStr"/>
    </row>
    <row r="33">
      <c r="A33" s="8" t="n">
        <v>32</v>
      </c>
      <c r="B33" s="8" t="inlineStr">
        <is>
          <t>Ventes et facturation</t>
        </is>
      </c>
      <c r="C33" s="8" t="inlineStr">
        <is>
          <t>Transport : les tarifs sont-ils fixés par route et par client, révisables (prix du gasoil) ? Facturez-vous des frais d'attente, d'escorte ou de retour à vide ?</t>
        </is>
      </c>
      <c r="D33" s="8" t="inlineStr">
        <is>
          <t>DAF et comptable</t>
        </is>
      </c>
      <c r="E33" s="8" t="inlineStr">
        <is>
          <t>Avant la reprise</t>
        </is>
      </c>
      <c r="F33" s="8" t="inlineStr">
        <is>
          <t>Routes et tarifs, lignes de facture des rotations.</t>
        </is>
      </c>
      <c r="G33" s="8" t="inlineStr">
        <is>
          <t>Tarif par route</t>
        </is>
      </c>
      <c r="H33" s="8" t="inlineStr">
        <is>
          <t>Grille tarifaire 2026</t>
        </is>
      </c>
      <c r="I33" s="8" t="inlineStr"/>
      <c r="J33" s="8" t="inlineStr"/>
      <c r="K33" s="9" t="inlineStr"/>
    </row>
    <row r="34">
      <c r="A34" s="6" t="n">
        <v>33</v>
      </c>
      <c r="B34" s="6" t="inlineStr">
        <is>
          <t>Ventes et facturation</t>
        </is>
      </c>
      <c r="C34" s="6" t="inlineStr">
        <is>
          <t>Transport : facturez-vous rotation par rotation, par lot mensuel par client, ou par bon de livraison ? Quelles pièces accompagnent la facture (bons de chargement, de livraison) ?</t>
        </is>
      </c>
      <c r="D34" s="6" t="inlineStr">
        <is>
          <t>DAF et comptable</t>
        </is>
      </c>
      <c r="E34" s="6" t="inlineStr">
        <is>
          <t>Avant la production</t>
        </is>
      </c>
      <c r="F34" s="6" t="inlineStr">
        <is>
          <t>Regroupement des rotations à facturer, références imprimées.</t>
        </is>
      </c>
      <c r="G34" s="6" t="inlineStr">
        <is>
          <t>Une facture par client, rotations validées regroupées</t>
        </is>
      </c>
      <c r="H34" s="6" t="inlineStr"/>
      <c r="I34" s="6" t="inlineStr"/>
      <c r="J34" s="6" t="inlineStr"/>
      <c r="K34" s="7" t="inlineStr"/>
    </row>
    <row r="35">
      <c r="A35" s="8" t="n">
        <v>34</v>
      </c>
      <c r="B35" s="8" t="inlineStr">
        <is>
          <t>Ventes et facturation</t>
        </is>
      </c>
      <c r="C35" s="8" t="inlineStr">
        <is>
          <t>Comment facturez-vous les autres activités de transport (minerais à la tonne, conteneurs, transport du personnel, location de véhicules à la journée, taxis) ?</t>
        </is>
      </c>
      <c r="D35" s="8" t="inlineStr">
        <is>
          <t>DAF</t>
        </is>
      </c>
      <c r="E35" s="8" t="inlineStr">
        <is>
          <t>Avant la reprise</t>
        </is>
      </c>
      <c r="F35" s="8" t="inlineStr">
        <is>
          <t>Le module Transport est bâti sur les rotations de citernes : ces activités peuvent demander un réglage ou une évolution.</t>
        </is>
      </c>
      <c r="G35" s="8" t="inlineStr">
        <is>
          <t>Factures de vente simples</t>
        </is>
      </c>
      <c r="H35" s="8" t="inlineStr">
        <is>
          <t>Factures types</t>
        </is>
      </c>
      <c r="I35" s="8" t="inlineStr"/>
      <c r="J35" s="8" t="inlineStr"/>
      <c r="K35" s="9" t="inlineStr"/>
    </row>
    <row r="36">
      <c r="A36" s="6" t="n">
        <v>35</v>
      </c>
      <c r="B36" s="6" t="inlineStr">
        <is>
          <t>Ventes et facturation</t>
        </is>
      </c>
      <c r="C36" s="6" t="inlineStr">
        <is>
          <t>Avez-vous des clients facturés en devises (dollar, euro) ? Quel taux retenez-vous (BCRG du jour de la facture, taux contractuel), et réévaluez-vous les créances en fin de mois ?</t>
        </is>
      </c>
      <c r="D36" s="6" t="inlineStr">
        <is>
          <t>DAF</t>
        </is>
      </c>
      <c r="E36" s="6" t="inlineStr">
        <is>
          <t>Avant la reprise</t>
        </is>
      </c>
      <c r="F36" s="6" t="inlineStr">
        <is>
          <t>Devises et taux de change, écarts de change, réévaluation.</t>
        </is>
      </c>
      <c r="G36" s="6" t="inlineStr">
        <is>
          <t>Franc guinéen seulement</t>
        </is>
      </c>
      <c r="H36" s="6" t="inlineStr">
        <is>
          <t>Contrats en devises</t>
        </is>
      </c>
      <c r="I36" s="6" t="inlineStr"/>
      <c r="J36" s="6" t="inlineStr"/>
      <c r="K36" s="7" t="inlineStr"/>
    </row>
    <row r="37">
      <c r="A37" s="8" t="n">
        <v>36</v>
      </c>
      <c r="B37" s="8" t="inlineStr">
        <is>
          <t>Ventes et facturation</t>
        </is>
      </c>
      <c r="C37" s="8" t="inlineStr">
        <is>
          <t>Qui peut émettre un avoir, et un avoir doit-il être approuvé ?</t>
        </is>
      </c>
      <c r="D37" s="8" t="inlineStr">
        <is>
          <t>DAF</t>
        </is>
      </c>
      <c r="E37" s="8" t="inlineStr">
        <is>
          <t>Avant la production</t>
        </is>
      </c>
      <c r="F37" s="8" t="inlineStr">
        <is>
          <t>Droits sur les avoirs, circuit d'approbation.</t>
        </is>
      </c>
      <c r="G37" s="8" t="inlineStr">
        <is>
          <t>Profil finance, sans approbation</t>
        </is>
      </c>
      <c r="H37" s="8" t="inlineStr"/>
      <c r="I37" s="8" t="inlineStr"/>
      <c r="J37" s="8" t="inlineStr"/>
      <c r="K37" s="9" t="inlineStr"/>
    </row>
    <row r="38">
      <c r="A38" s="6" t="n">
        <v>37</v>
      </c>
      <c r="B38" s="6" t="inlineStr">
        <is>
          <t>Ventes et facturation</t>
        </is>
      </c>
      <c r="C38" s="6" t="inlineStr">
        <is>
          <t>Négoce de véhicules, citernes et engins : comment est-il comptabilisé aujourd'hui (achat pour revente, stock, marge par véhicule) ?</t>
        </is>
      </c>
      <c r="D38" s="6" t="inlineStr">
        <is>
          <t>DAF</t>
        </is>
      </c>
      <c r="E38" s="6" t="inlineStr">
        <is>
          <t>Avant la production</t>
        </is>
      </c>
      <c r="F38" s="6" t="inlineStr">
        <is>
          <t>La gestion de stock n'est pas dans l'offre : comptabilisation simple, ou évolution.</t>
        </is>
      </c>
      <c r="G38" s="6" t="inlineStr">
        <is>
          <t>Achats et ventes sans stock</t>
        </is>
      </c>
      <c r="H38" s="6" t="inlineStr"/>
      <c r="I38" s="6" t="inlineStr"/>
      <c r="J38" s="6" t="inlineStr"/>
      <c r="K38" s="7" t="inlineStr"/>
    </row>
    <row r="39">
      <c r="A39" s="8" t="n">
        <v>38</v>
      </c>
      <c r="B39" s="8" t="inlineStr">
        <is>
          <t>Ventes et facturation</t>
        </is>
      </c>
      <c r="C39" s="8" t="inlineStr">
        <is>
          <t>Chantiers : retenue de garantie (taux, durée, caution de remplacement), avance de démarrage remboursée sur les situations, révision de prix, TVA sur les situations ?</t>
        </is>
      </c>
      <c r="D39" s="8" t="inlineStr">
        <is>
          <t>DAF et comptable</t>
        </is>
      </c>
      <c r="E39" s="8" t="inlineStr">
        <is>
          <t>Avant la reprise</t>
        </is>
      </c>
      <c r="F39" s="8" t="inlineStr">
        <is>
          <t>Paramètres de chaque chantier et facturation des situations.</t>
        </is>
      </c>
      <c r="G39" s="8" t="inlineStr">
        <is>
          <t>Retenue de 5 %, pas d'avance</t>
        </is>
      </c>
      <c r="H39" s="8" t="inlineStr">
        <is>
          <t>Marchés en cours</t>
        </is>
      </c>
      <c r="I39" s="8" t="inlineStr"/>
      <c r="J39" s="8" t="inlineStr"/>
      <c r="K39" s="9" t="inlineStr"/>
    </row>
    <row r="40">
      <c r="A40" s="6" t="n">
        <v>39</v>
      </c>
      <c r="B40" s="6" t="inlineStr">
        <is>
          <t>Ventes et facturation</t>
        </is>
      </c>
      <c r="C40" s="6" t="inlineStr">
        <is>
          <t>Immobilier : loyers payables d'avance chaque mois ou chaque trimestre ? TVA sur les loyers selon le type de bail ? Dépôts de garantie, révision annuelle, charges refacturées, retenue à la source opérée par les locataires ?</t>
        </is>
      </c>
      <c r="D40" s="6" t="inlineStr">
        <is>
          <t>DAF et comptable</t>
        </is>
      </c>
      <c r="E40" s="6" t="inlineStr">
        <is>
          <t>Avant la reprise</t>
        </is>
      </c>
      <c r="F40" s="6" t="inlineStr">
        <is>
          <t>Baux, quittancement automatique de nuit, TVA et retenues sur loyers.</t>
        </is>
      </c>
      <c r="G40" s="6" t="inlineStr">
        <is>
          <t>Mensuel d'avance, TVA sur bail commercial</t>
        </is>
      </c>
      <c r="H40" s="6" t="inlineStr">
        <is>
          <t>Baux en cours</t>
        </is>
      </c>
      <c r="I40" s="6" t="inlineStr"/>
      <c r="J40" s="6" t="inlineStr"/>
      <c r="K40" s="7" t="inlineStr"/>
    </row>
    <row r="41">
      <c r="A41" s="8" t="n">
        <v>40</v>
      </c>
      <c r="B41" s="8" t="inlineStr">
        <is>
          <t>Ventes et facturation</t>
        </is>
      </c>
      <c r="C41" s="8" t="inlineStr">
        <is>
          <t>AxisPro : les honoraires sont-ils facturés au temps passé (taux horaire par consultant), au forfait par dossier, avec acompte, avec honoraire de réussite ? Sont-ils soumis à la TVA ?</t>
        </is>
      </c>
      <c r="D41" s="8" t="inlineStr">
        <is>
          <t>Direction</t>
        </is>
      </c>
      <c r="E41" s="8" t="inlineStr">
        <is>
          <t>Avant la production</t>
        </is>
      </c>
      <c r="F41" s="8" t="inlineStr">
        <is>
          <t>Facturation des honoraires depuis les temps passés, taux, TVA.</t>
        </is>
      </c>
      <c r="G41" s="8" t="inlineStr">
        <is>
          <t>Taux horaire saisi à la facture, TVA 18 %</t>
        </is>
      </c>
      <c r="H41" s="8" t="inlineStr">
        <is>
          <t>Lettre de mission type</t>
        </is>
      </c>
      <c r="I41" s="8" t="inlineStr"/>
      <c r="J41" s="8" t="inlineStr"/>
      <c r="K41" s="9" t="inlineStr"/>
    </row>
    <row r="42">
      <c r="A42" s="6" t="n">
        <v>41</v>
      </c>
      <c r="B42" s="6" t="inlineStr">
        <is>
          <t>Achats, dépenses et approbations</t>
        </is>
      </c>
      <c r="C42" s="6" t="inlineStr">
        <is>
          <t>Quelles sont vos catégories de dépense courantes (carburant, pneus, pièces, entretien, péages, frais de route, primes chauffeurs, assurances, fournitures) et leur compte ? L'imputation à un camion ou à un chantier est-elle obligatoire ?</t>
        </is>
      </c>
      <c r="D42" s="6" t="inlineStr">
        <is>
          <t>Comptable</t>
        </is>
      </c>
      <c r="E42" s="6" t="inlineStr">
        <is>
          <t>Avant la reprise</t>
        </is>
      </c>
      <c r="F42" s="6" t="inlineStr">
        <is>
          <t>Catégories de dépense : compte, analytique obligatoire, immobilisation éventuelle.</t>
        </is>
      </c>
      <c r="G42" s="6" t="inlineStr"/>
      <c r="H42" s="6" t="inlineStr">
        <is>
          <t>Liste des dépenses 2026</t>
        </is>
      </c>
      <c r="I42" s="6" t="inlineStr"/>
      <c r="J42" s="6" t="inlineStr"/>
      <c r="K42" s="7" t="inlineStr"/>
    </row>
    <row r="43">
      <c r="A43" s="8" t="n">
        <v>42</v>
      </c>
      <c r="B43" s="8" t="inlineStr">
        <is>
          <t>Achats, dépenses et approbations</t>
        </is>
      </c>
      <c r="C43" s="8" t="inlineStr">
        <is>
          <t>À partir de quel montant un bon de commande (engagement de dépense) est-il obligatoire avant l'achat ? Quel écart toléré entre la facture et l'engagement ?</t>
        </is>
      </c>
      <c r="D43" s="8" t="inlineStr">
        <is>
          <t>DAF</t>
        </is>
      </c>
      <c r="E43" s="8" t="inlineStr">
        <is>
          <t>Avant la production</t>
        </is>
      </c>
      <c r="F43" s="8" t="inlineStr">
        <is>
          <t>Engagements de dépense, rapprochement avec la facture.</t>
        </is>
      </c>
      <c r="G43" s="8" t="inlineStr">
        <is>
          <t>Tolérance de 5 %</t>
        </is>
      </c>
      <c r="H43" s="8" t="inlineStr"/>
      <c r="I43" s="8" t="inlineStr"/>
      <c r="J43" s="8" t="inlineStr"/>
      <c r="K43" s="9" t="inlineStr"/>
    </row>
    <row r="44">
      <c r="A44" s="6" t="n">
        <v>43</v>
      </c>
      <c r="B44" s="6" t="inlineStr">
        <is>
          <t>Achats, dépenses et approbations</t>
        </is>
      </c>
      <c r="C44" s="6" t="inlineStr">
        <is>
          <t>Circuit d'approbation : la finance contrôle toute pièce d'achat et la direction approuve au-delà de 50 M GNF ; la direction approuve les règlements et décaissements au-delà de 100 M GNF. Ces seuils conviennent-ils, et sont-ils les mêmes pour les deux sociétés ?</t>
        </is>
      </c>
      <c r="D44" s="6" t="inlineStr">
        <is>
          <t>Direction</t>
        </is>
      </c>
      <c r="E44" s="6" t="inlineStr">
        <is>
          <t>Avant la production</t>
        </is>
      </c>
      <c r="F44" s="6" t="inlineStr">
        <is>
          <t>Règles d'approbation par société, par nature de document et par montant.</t>
        </is>
      </c>
      <c r="G44" s="6" t="inlineStr">
        <is>
          <t>50 M GNF (achats), 100 M GNF (paiements)</t>
        </is>
      </c>
      <c r="H44" s="6" t="inlineStr"/>
      <c r="I44" s="6" t="inlineStr"/>
      <c r="J44" s="6" t="inlineStr"/>
      <c r="K44" s="7" t="inlineStr"/>
    </row>
    <row r="45">
      <c r="A45" s="8" t="n">
        <v>44</v>
      </c>
      <c r="B45" s="8" t="inlineStr">
        <is>
          <t>Achats, dépenses et approbations</t>
        </is>
      </c>
      <c r="C45" s="8" t="inlineStr">
        <is>
          <t>En l'absence du directeur général, qui approuve à sa place ? Les paiements exigent-ils deux signatures à la banque ?</t>
        </is>
      </c>
      <c r="D45" s="8" t="inlineStr">
        <is>
          <t>Direction</t>
        </is>
      </c>
      <c r="E45" s="8" t="inlineStr">
        <is>
          <t>Avant la production</t>
        </is>
      </c>
      <c r="F45" s="8" t="inlineStr">
        <is>
          <t>Profils approbateurs et suppléances.</t>
        </is>
      </c>
      <c r="G45" s="8" t="inlineStr"/>
      <c r="H45" s="8" t="inlineStr"/>
      <c r="I45" s="8" t="inlineStr"/>
      <c r="J45" s="8" t="inlineStr"/>
      <c r="K45" s="9" t="inlineStr"/>
    </row>
    <row r="46">
      <c r="A46" s="6" t="n">
        <v>45</v>
      </c>
      <c r="B46" s="6" t="inlineStr">
        <is>
          <t>Achats, dépenses et approbations</t>
        </is>
      </c>
      <c r="C46" s="6" t="inlineStr">
        <is>
          <t>Le carburant est-il acheté en station avec des bons, par cartes carburant, ou stocké en cuve au parc ? Suivez-vous la consommation par camion ?</t>
        </is>
      </c>
      <c r="D46" s="6" t="inlineStr">
        <is>
          <t>DAF et comptable</t>
        </is>
      </c>
      <c r="E46" s="6" t="inlineStr">
        <is>
          <t>Avant la reprise</t>
        </is>
      </c>
      <c r="F46" s="6" t="inlineStr">
        <is>
          <t>Imputation du carburant aux ensembles routiers ; le stock de carburant serait une évolution.</t>
        </is>
      </c>
      <c r="G46" s="6" t="inlineStr">
        <is>
          <t>Achat imputé au camion</t>
        </is>
      </c>
      <c r="H46" s="6" t="inlineStr"/>
      <c r="I46" s="6" t="inlineStr"/>
      <c r="J46" s="6" t="inlineStr"/>
      <c r="K46" s="7" t="inlineStr"/>
    </row>
    <row r="47">
      <c r="A47" s="8" t="n">
        <v>46</v>
      </c>
      <c r="B47" s="8" t="inlineStr">
        <is>
          <t>Achats, dépenses et approbations</t>
        </is>
      </c>
      <c r="C47" s="8" t="inlineStr">
        <is>
          <t>Les frais de route des chauffeurs sont-ils avancés puis justifiés, ou payés au forfait par voyage ? Comment sont-ils comptabilisés ?</t>
        </is>
      </c>
      <c r="D47" s="8" t="inlineStr">
        <is>
          <t>Comptable</t>
        </is>
      </c>
      <c r="E47" s="8" t="inlineStr">
        <is>
          <t>Avant la reprise</t>
        </is>
      </c>
      <c r="F47" s="8" t="inlineStr">
        <is>
          <t>Avances au personnel (421), justification, charge par rotation.</t>
        </is>
      </c>
      <c r="G47" s="8" t="inlineStr">
        <is>
          <t>Avance au personnel</t>
        </is>
      </c>
      <c r="H47" s="8" t="inlineStr"/>
      <c r="I47" s="8" t="inlineStr"/>
      <c r="J47" s="8" t="inlineStr"/>
      <c r="K47" s="9" t="inlineStr"/>
    </row>
    <row r="48">
      <c r="A48" s="6" t="n">
        <v>47</v>
      </c>
      <c r="B48" s="6" t="inlineStr">
        <is>
          <t>Achats, dépenses et approbations</t>
        </is>
      </c>
      <c r="C48" s="6" t="inlineStr">
        <is>
          <t>Achetez-vous à l'étranger (pièces, pneus, équipements) ? En quelle devise, avec quels droits de douane et quel transitaire ?</t>
        </is>
      </c>
      <c r="D48" s="6" t="inlineStr">
        <is>
          <t>Comptable</t>
        </is>
      </c>
      <c r="E48" s="6" t="inlineStr">
        <is>
          <t>Avant la production</t>
        </is>
      </c>
      <c r="F48" s="6" t="inlineStr">
        <is>
          <t>Fournisseurs en devises, frais d'approche, coût des immobilisations.</t>
        </is>
      </c>
      <c r="G48" s="6" t="inlineStr"/>
      <c r="H48" s="6" t="inlineStr"/>
      <c r="I48" s="6" t="inlineStr"/>
      <c r="J48" s="6" t="inlineStr"/>
      <c r="K48" s="7" t="inlineStr"/>
    </row>
    <row r="49">
      <c r="A49" s="8" t="n">
        <v>48</v>
      </c>
      <c r="B49" s="8" t="inlineStr">
        <is>
          <t>Trésorerie et banques</t>
        </is>
      </c>
      <c r="C49" s="8" t="inlineStr">
        <is>
          <t>Quels sont les comptes bancaires de chaque société (banque, numéro, devise) ? Lesquels sont en dollars ou en euros ?</t>
        </is>
      </c>
      <c r="D49" s="8" t="inlineStr">
        <is>
          <t>DAF</t>
        </is>
      </c>
      <c r="E49" s="8" t="inlineStr">
        <is>
          <t>Avant la reprise</t>
        </is>
      </c>
      <c r="F49" s="8" t="inlineStr">
        <is>
          <t>Journaux de banque et comptes 521 par société, soldes de reprise.</t>
        </is>
      </c>
      <c r="G49" s="8" t="inlineStr"/>
      <c r="H49" s="8" t="inlineStr">
        <is>
          <t>RIB et relevés au 31/12/2025</t>
        </is>
      </c>
      <c r="I49" s="8" t="inlineStr"/>
      <c r="J49" s="8" t="inlineStr"/>
      <c r="K49" s="9" t="inlineStr"/>
    </row>
    <row r="50">
      <c r="A50" s="6" t="n">
        <v>49</v>
      </c>
      <c r="B50" s="6" t="inlineStr">
        <is>
          <t>Trésorerie et banques</t>
        </is>
      </c>
      <c r="C50" s="6" t="inlineStr">
        <is>
          <t>Combien de caisses tenez-vous (siège, parc, chantiers), qui les tient, avec quel plafond et à quelle fréquence sont-elles arrêtées ?</t>
        </is>
      </c>
      <c r="D50" s="6" t="inlineStr">
        <is>
          <t>DAF</t>
        </is>
      </c>
      <c r="E50" s="6" t="inlineStr">
        <is>
          <t>Avant la reprise</t>
        </is>
      </c>
      <c r="F50" s="6" t="inlineStr">
        <is>
          <t>Journaux de caisse, alertes de caisse négative.</t>
        </is>
      </c>
      <c r="G50" s="6" t="inlineStr"/>
      <c r="H50" s="6" t="inlineStr">
        <is>
          <t>Derniers arrêtés de caisse</t>
        </is>
      </c>
      <c r="I50" s="6" t="inlineStr"/>
      <c r="J50" s="6" t="inlineStr"/>
      <c r="K50" s="7" t="inlineStr"/>
    </row>
    <row r="51">
      <c r="A51" s="8" t="n">
        <v>50</v>
      </c>
      <c r="B51" s="8" t="inlineStr">
        <is>
          <t>Trésorerie et banques</t>
        </is>
      </c>
      <c r="C51" s="8" t="inlineStr">
        <is>
          <t>Utilisez-vous des comptes de monnaie électronique (Orange Money, MTN MoMo) pour encaisser ou payer ?</t>
        </is>
      </c>
      <c r="D51" s="8" t="inlineStr">
        <is>
          <t>DAF</t>
        </is>
      </c>
      <c r="E51" s="8" t="inlineStr">
        <is>
          <t>Avant la production</t>
        </is>
      </c>
      <c r="F51" s="8" t="inlineStr">
        <is>
          <t>Comptes de trésorerie et mode de paiement « Mobile money ».</t>
        </is>
      </c>
      <c r="G51" s="8" t="inlineStr">
        <is>
          <t>Mode de paiement prévu</t>
        </is>
      </c>
      <c r="H51" s="8" t="inlineStr"/>
      <c r="I51" s="8" t="inlineStr"/>
      <c r="J51" s="8" t="inlineStr"/>
      <c r="K51" s="9" t="inlineStr"/>
    </row>
    <row r="52">
      <c r="A52" s="6" t="n">
        <v>51</v>
      </c>
      <c r="B52" s="6" t="inlineStr">
        <is>
          <t>Trésorerie et banques</t>
        </is>
      </c>
      <c r="C52" s="6" t="inlineStr">
        <is>
          <t>Sous quel format pouvez-vous obtenir vos relevés bancaires (Excel, CSV, PDF, banque en ligne) et à quelle fréquence ?</t>
        </is>
      </c>
      <c r="D52" s="6" t="inlineStr">
        <is>
          <t>Comptable</t>
        </is>
      </c>
      <c r="E52" s="6" t="inlineStr">
        <is>
          <t>Avant la reprise</t>
        </is>
      </c>
      <c r="F52" s="6" t="inlineStr">
        <is>
          <t>Import des relevés et rapprochement assisté.</t>
        </is>
      </c>
      <c r="G52" s="6" t="inlineStr">
        <is>
          <t>Import Excel ou CSV</t>
        </is>
      </c>
      <c r="H52" s="6" t="inlineStr">
        <is>
          <t>Un relevé par banque</t>
        </is>
      </c>
      <c r="I52" s="6" t="inlineStr"/>
      <c r="J52" s="6" t="inlineStr"/>
      <c r="K52" s="7" t="inlineStr"/>
    </row>
    <row r="53">
      <c r="A53" s="8" t="n">
        <v>52</v>
      </c>
      <c r="B53" s="8" t="inlineStr">
        <is>
          <t>Trésorerie et banques</t>
        </is>
      </c>
      <c r="C53" s="8" t="inlineStr">
        <is>
          <t>Quels types d'opérations reviennent sur vos relevés au-delà des encaissements et paiements (frais, agios, avances au personnel, salaires, cotisations, impôts, virements internes, emprunts) ?</t>
        </is>
      </c>
      <c r="D53" s="8" t="inlineStr">
        <is>
          <t>Comptable</t>
        </is>
      </c>
      <c r="E53" s="8" t="inlineStr">
        <is>
          <t>Avant la production</t>
        </is>
      </c>
      <c r="F53" s="8" t="inlineStr">
        <is>
          <t>Types d'opérations de trésorerie et leur contrepartie comptable.</t>
        </is>
      </c>
      <c r="G53" s="8" t="inlineStr">
        <is>
          <t>13 types usuels déjà créés</t>
        </is>
      </c>
      <c r="H53" s="8" t="inlineStr"/>
      <c r="I53" s="8" t="inlineStr"/>
      <c r="J53" s="8" t="inlineStr"/>
      <c r="K53" s="9" t="inlineStr"/>
    </row>
    <row r="54">
      <c r="A54" s="6" t="n">
        <v>53</v>
      </c>
      <c r="B54" s="6" t="inlineStr">
        <is>
          <t>Trésorerie et banques</t>
        </is>
      </c>
      <c r="C54" s="6" t="inlineStr">
        <is>
          <t>Quel solde de trésorerie minimum la direction veut-elle surveiller ?</t>
        </is>
      </c>
      <c r="D54" s="6" t="inlineStr">
        <is>
          <t>Direction</t>
        </is>
      </c>
      <c r="E54" s="6" t="inlineStr">
        <is>
          <t>Ajustement</t>
        </is>
      </c>
      <c r="F54" s="6" t="inlineStr">
        <is>
          <t>Alerte « trésorerie minimale ».</t>
        </is>
      </c>
      <c r="G54" s="6" t="inlineStr">
        <is>
          <t>Désactivée (0)</t>
        </is>
      </c>
      <c r="H54" s="6" t="inlineStr"/>
      <c r="I54" s="6" t="inlineStr"/>
      <c r="J54" s="6" t="inlineStr"/>
      <c r="K54" s="7" t="inlineStr"/>
    </row>
    <row r="55">
      <c r="A55" s="8" t="n">
        <v>54</v>
      </c>
      <c r="B55" s="8" t="inlineStr">
        <is>
          <t>Immobilisations</t>
        </is>
      </c>
      <c r="C55" s="8" t="inlineStr">
        <is>
          <t>Pouvez-vous fournir le fichier des immobilisations de chaque société (date d'acquisition, valeur d'origine, durée, amortissements cumulés au 31/12/2025) ?</t>
        </is>
      </c>
      <c r="D55" s="8" t="inlineStr">
        <is>
          <t>Comptable</t>
        </is>
      </c>
      <c r="E55" s="8" t="inlineStr">
        <is>
          <t>Avant la reprise</t>
        </is>
      </c>
      <c r="F55" s="8" t="inlineStr">
        <is>
          <t>Reprise des immobilisations et calcul des dotations mensuelles.</t>
        </is>
      </c>
      <c r="G55" s="8" t="inlineStr"/>
      <c r="H55" s="8" t="inlineStr">
        <is>
          <t>Tableau des immobilisations</t>
        </is>
      </c>
      <c r="I55" s="8" t="inlineStr"/>
      <c r="J55" s="8" t="inlineStr"/>
      <c r="K55" s="9" t="inlineStr"/>
    </row>
    <row r="56">
      <c r="A56" s="6" t="n">
        <v>55</v>
      </c>
      <c r="B56" s="6" t="inlineStr">
        <is>
          <t>Immobilisations</t>
        </is>
      </c>
      <c r="C56" s="6" t="inlineStr">
        <is>
          <t>Quelles durées et méthodes d'amortissement appliquez-vous par catégorie (tracteurs, citernes, véhicules légers, engins de BTP, bâtiments, informatique, mobilier) ? Linéaire ou dégressif ? Valeur résiduelle ? Les pneus sont-ils amortis à part ?</t>
        </is>
      </c>
      <c r="D56" s="6" t="inlineStr">
        <is>
          <t>Comptable</t>
        </is>
      </c>
      <c r="E56" s="6" t="inlineStr">
        <is>
          <t>Avant la reprise</t>
        </is>
      </c>
      <c r="F56" s="6" t="inlineStr">
        <is>
          <t>Profils d'amortissement des catégories d'immobilisation.</t>
        </is>
      </c>
      <c r="G56" s="6" t="inlineStr">
        <is>
          <t>Linéaire</t>
        </is>
      </c>
      <c r="H56" s="6" t="inlineStr"/>
      <c r="I56" s="6" t="inlineStr"/>
      <c r="J56" s="6" t="inlineStr"/>
      <c r="K56" s="7" t="inlineStr"/>
    </row>
    <row r="57">
      <c r="A57" s="8" t="n">
        <v>56</v>
      </c>
      <c r="B57" s="8" t="inlineStr">
        <is>
          <t>Immobilisations</t>
        </is>
      </c>
      <c r="C57" s="8" t="inlineStr">
        <is>
          <t>En dessous de quel montant un achat est-il passé en charge plutôt qu'immobilisé ?</t>
        </is>
      </c>
      <c r="D57" s="8" t="inlineStr">
        <is>
          <t>Comptable</t>
        </is>
      </c>
      <c r="E57" s="8" t="inlineStr">
        <is>
          <t>Avant la production</t>
        </is>
      </c>
      <c r="F57" s="8" t="inlineStr">
        <is>
          <t>Seuil d'immobilisation des catégories de dépense.</t>
        </is>
      </c>
      <c r="G57" s="8" t="inlineStr"/>
      <c r="H57" s="8" t="inlineStr"/>
      <c r="I57" s="8" t="inlineStr"/>
      <c r="J57" s="8" t="inlineStr"/>
      <c r="K57" s="9" t="inlineStr"/>
    </row>
    <row r="58">
      <c r="A58" s="6" t="n">
        <v>57</v>
      </c>
      <c r="B58" s="6" t="inlineStr">
        <is>
          <t>Immobilisations</t>
        </is>
      </c>
      <c r="C58" s="6" t="inlineStr">
        <is>
          <t>Avez-vous des contrats de crédit-bail ou de location financière en cours ?</t>
        </is>
      </c>
      <c r="D58" s="6" t="inlineStr">
        <is>
          <t>DAF</t>
        </is>
      </c>
      <c r="E58" s="6" t="inlineStr">
        <is>
          <t>Avant la reprise</t>
        </is>
      </c>
      <c r="F58" s="6" t="inlineStr">
        <is>
          <t>Traitement du crédit-bail (SYSCOHADA révisé : immobilisation et dette).</t>
        </is>
      </c>
      <c r="G58" s="6" t="inlineStr"/>
      <c r="H58" s="6" t="inlineStr">
        <is>
          <t>Contrats</t>
        </is>
      </c>
      <c r="I58" s="6" t="inlineStr"/>
      <c r="J58" s="6" t="inlineStr"/>
      <c r="K58" s="7" t="inlineStr"/>
    </row>
    <row r="59">
      <c r="A59" s="8" t="n">
        <v>58</v>
      </c>
      <c r="B59" s="8" t="inlineStr">
        <is>
          <t>Emprunts et financements</t>
        </is>
      </c>
      <c r="C59" s="8" t="inlineStr">
        <is>
          <t>Quels emprunts sont en cours (banque, montant, taux, durée, échéancier, garanties, devise) ?</t>
        </is>
      </c>
      <c r="D59" s="8" t="inlineStr">
        <is>
          <t>DAF</t>
        </is>
      </c>
      <c r="E59" s="8" t="inlineStr">
        <is>
          <t>Avant la reprise</t>
        </is>
      </c>
      <c r="F59" s="8" t="inlineStr">
        <is>
          <t>Fiches de financement, échéanciers, service de la dette et DSCR.</t>
        </is>
      </c>
      <c r="G59" s="8" t="inlineStr"/>
      <c r="H59" s="8" t="inlineStr">
        <is>
          <t>Contrats et tableaux d'amortissement</t>
        </is>
      </c>
      <c r="I59" s="8" t="inlineStr"/>
      <c r="J59" s="8" t="inlineStr"/>
      <c r="K59" s="9" t="inlineStr"/>
    </row>
    <row r="60">
      <c r="A60" s="6" t="n">
        <v>59</v>
      </c>
      <c r="B60" s="6" t="inlineStr">
        <is>
          <t>Emprunts et financements</t>
        </is>
      </c>
      <c r="C60" s="6" t="inlineStr">
        <is>
          <t>Disposez-vous de découverts autorisés, de lignes de crédit ou de cautions bancaires (chantiers, douane) ?</t>
        </is>
      </c>
      <c r="D60" s="6" t="inlineStr">
        <is>
          <t>DAF</t>
        </is>
      </c>
      <c r="E60" s="6" t="inlineStr">
        <is>
          <t>Avant la production</t>
        </is>
      </c>
      <c r="F60" s="6" t="inlineStr">
        <is>
          <t>Suivi des engagements hors bilan et de la trésorerie disponible.</t>
        </is>
      </c>
      <c r="G60" s="6" t="inlineStr"/>
      <c r="H60" s="6" t="inlineStr"/>
      <c r="I60" s="6" t="inlineStr"/>
      <c r="J60" s="6" t="inlineStr"/>
      <c r="K60" s="7" t="inlineStr"/>
    </row>
    <row r="61">
      <c r="A61" s="8" t="n">
        <v>60</v>
      </c>
      <c r="B61" s="8" t="inlineStr">
        <is>
          <t>Emprunts et financements</t>
        </is>
      </c>
      <c r="C61" s="8" t="inlineStr">
        <is>
          <t>Vos banques imposent-elles un ratio de couverture de la dette minimal (DSCR) ou d'autres engagements financiers ?</t>
        </is>
      </c>
      <c r="D61" s="8" t="inlineStr">
        <is>
          <t>DAF</t>
        </is>
      </c>
      <c r="E61" s="8" t="inlineStr">
        <is>
          <t>Ajustement</t>
        </is>
      </c>
      <c r="F61" s="8" t="inlineStr">
        <is>
          <t>Seuil d'alerte du DSCR.</t>
        </is>
      </c>
      <c r="G61" s="8" t="inlineStr">
        <is>
          <t>Alerte sous 1,2</t>
        </is>
      </c>
      <c r="H61" s="8" t="inlineStr">
        <is>
          <t>Clauses des contrats</t>
        </is>
      </c>
      <c r="I61" s="8" t="inlineStr"/>
      <c r="J61" s="8" t="inlineStr"/>
      <c r="K61" s="9" t="inlineStr"/>
    </row>
    <row r="62">
      <c r="A62" s="6" t="n">
        <v>61</v>
      </c>
      <c r="B62" s="6" t="inlineStr">
        <is>
          <t>Clients, relances et provisions</t>
        </is>
      </c>
      <c r="C62" s="6" t="inlineStr">
        <is>
          <t>Votre politique de relance : à combien de jours de retard un rappel, une relance ferme, une mise en demeure ? Qui signe chaque niveau ?</t>
        </is>
      </c>
      <c r="D62" s="6" t="inlineStr">
        <is>
          <t>DAF</t>
        </is>
      </c>
      <c r="E62" s="6" t="inlineStr">
        <is>
          <t>Avant la production</t>
        </is>
      </c>
      <c r="F62" s="6" t="inlineStr">
        <is>
          <t>Niveaux et délais des relances clients, jamais envoyées sans décision.</t>
        </is>
      </c>
      <c r="G62" s="6" t="inlineStr">
        <is>
          <t>1, 15 et 30 jours</t>
        </is>
      </c>
      <c r="H62" s="6" t="inlineStr">
        <is>
          <t>Modèles de lettres</t>
        </is>
      </c>
      <c r="I62" s="6" t="inlineStr"/>
      <c r="J62" s="6" t="inlineStr"/>
      <c r="K62" s="7" t="inlineStr"/>
    </row>
    <row r="63">
      <c r="A63" s="8" t="n">
        <v>62</v>
      </c>
      <c r="B63" s="8" t="inlineStr">
        <is>
          <t>Clients, relances et provisions</t>
        </is>
      </c>
      <c r="C63" s="8" t="inlineStr">
        <is>
          <t>Comment dépréciez-vous les créances douteuses (client par client, par ancienneté, à quel pourcentage) ? Les banques ou des investisseurs demandent-ils des comptes en IFRS ?</t>
        </is>
      </c>
      <c r="D63" s="8" t="inlineStr">
        <is>
          <t>DAF</t>
        </is>
      </c>
      <c r="E63" s="8" t="inlineStr">
        <is>
          <t>Avant la production</t>
        </is>
      </c>
      <c r="F63" s="8" t="inlineStr">
        <is>
          <t>Dépréciations statutaires ; matrice des pertes de crédit attendues (passerelle IFRS 9).</t>
        </is>
      </c>
      <c r="G63" s="8" t="inlineStr">
        <is>
          <t>Matrice IFRS hors livres, 50 % au-delà de 90 jours</t>
        </is>
      </c>
      <c r="H63" s="8" t="inlineStr"/>
      <c r="I63" s="8" t="inlineStr"/>
      <c r="J63" s="8" t="inlineStr"/>
      <c r="K63" s="9" t="inlineStr"/>
    </row>
    <row r="64">
      <c r="A64" s="6" t="n">
        <v>63</v>
      </c>
      <c r="B64" s="6" t="inlineStr">
        <is>
          <t>Clients, relances et provisions</t>
        </is>
      </c>
      <c r="C64" s="6" t="inlineStr">
        <is>
          <t>Avez-vous aujourd'hui des clients en litige ou douteux, et des créances à passer en perte ?</t>
        </is>
      </c>
      <c r="D64" s="6" t="inlineStr">
        <is>
          <t>DAF</t>
        </is>
      </c>
      <c r="E64" s="6" t="inlineStr">
        <is>
          <t>Avant la reprise</t>
        </is>
      </c>
      <c r="F64" s="6" t="inlineStr">
        <is>
          <t>Reprise des créances, dépréciations d'ouverture.</t>
        </is>
      </c>
      <c r="G64" s="6" t="inlineStr"/>
      <c r="H64" s="6" t="inlineStr">
        <is>
          <t>Liste</t>
        </is>
      </c>
      <c r="I64" s="6" t="inlineStr"/>
      <c r="J64" s="6" t="inlineStr"/>
      <c r="K64" s="7" t="inlineStr"/>
    </row>
    <row r="65">
      <c r="A65" s="8" t="n">
        <v>64</v>
      </c>
      <c r="B65" s="8" t="inlineStr">
        <is>
          <t>Clients, relances et provisions</t>
        </is>
      </c>
      <c r="C65" s="8" t="inlineStr">
        <is>
          <t>Accordez-vous un plafond d'encours par client ?</t>
        </is>
      </c>
      <c r="D65" s="8" t="inlineStr">
        <is>
          <t>DAF</t>
        </is>
      </c>
      <c r="E65" s="8" t="inlineStr">
        <is>
          <t>Ajustement</t>
        </is>
      </c>
      <c r="F65" s="8" t="inlineStr">
        <is>
          <t>Alerte de concentration et suivi des encours.</t>
        </is>
      </c>
      <c r="G65" s="8" t="inlineStr">
        <is>
          <t>Alerte si un client dépasse 40 % des créances</t>
        </is>
      </c>
      <c r="H65" s="8" t="inlineStr"/>
      <c r="I65" s="8" t="inlineStr"/>
      <c r="J65" s="8" t="inlineStr"/>
      <c r="K65" s="9" t="inlineStr"/>
    </row>
    <row r="66">
      <c r="A66" s="6" t="n">
        <v>65</v>
      </c>
      <c r="B66" s="6" t="inlineStr">
        <is>
          <t>Clôtures, budget et pilotage</t>
        </is>
      </c>
      <c r="C66" s="6" t="inlineStr">
        <is>
          <t>À quelle date chaque mois doit être clôturé, et par qui ?</t>
        </is>
      </c>
      <c r="D66" s="6" t="inlineStr">
        <is>
          <t>DAF</t>
        </is>
      </c>
      <c r="E66" s="6" t="inlineStr">
        <is>
          <t>Avant la production</t>
        </is>
      </c>
      <c r="F66" s="6" t="inlineStr">
        <is>
          <t>Clôtures mensuelles, verrouillage, alerte de retard de clôture.</t>
        </is>
      </c>
      <c r="G66" s="6" t="inlineStr">
        <is>
          <t>Alerte 10 jours après la fin du mois</t>
        </is>
      </c>
      <c r="H66" s="6" t="inlineStr"/>
      <c r="I66" s="6" t="inlineStr"/>
      <c r="J66" s="6" t="inlineStr"/>
      <c r="K66" s="7" t="inlineStr"/>
    </row>
    <row r="67">
      <c r="A67" s="8" t="n">
        <v>66</v>
      </c>
      <c r="B67" s="8" t="inlineStr">
        <is>
          <t>Clôtures, budget et pilotage</t>
        </is>
      </c>
      <c r="C67" s="8" t="inlineStr">
        <is>
          <t>Quelles écritures d'inventaire passez-vous chaque mois ou en fin d'année (charges à payer, produits à recevoir, charges constatées d'avance, provisions) ?</t>
        </is>
      </c>
      <c r="D67" s="8" t="inlineStr">
        <is>
          <t>Comptable</t>
        </is>
      </c>
      <c r="E67" s="8" t="inlineStr">
        <is>
          <t>Avant la production</t>
        </is>
      </c>
      <c r="F67" s="8" t="inlineStr">
        <is>
          <t>Contrôles avant clôture et écritures récurrentes.</t>
        </is>
      </c>
      <c r="G67" s="8" t="inlineStr">
        <is>
          <t>Amortissements mensuels automatiques</t>
        </is>
      </c>
      <c r="H67" s="8" t="inlineStr"/>
      <c r="I67" s="8" t="inlineStr"/>
      <c r="J67" s="8" t="inlineStr"/>
      <c r="K67" s="9" t="inlineStr"/>
    </row>
    <row r="68">
      <c r="A68" s="6" t="n">
        <v>67</v>
      </c>
      <c r="B68" s="6" t="inlineStr">
        <is>
          <t>Clôtures, budget et pilotage</t>
        </is>
      </c>
      <c r="C68" s="6" t="inlineStr">
        <is>
          <t>Quels indicateurs la direction attend-elle chaque mois, sous quelle forme, et pour qui ?</t>
        </is>
      </c>
      <c r="D68" s="6" t="inlineStr">
        <is>
          <t>Direction</t>
        </is>
      </c>
      <c r="E68" s="6" t="inlineStr">
        <is>
          <t>Avant la production</t>
        </is>
      </c>
      <c r="F68" s="6" t="inlineStr">
        <is>
          <t>Rapport mensuel de gestion et tableau de bord.</t>
        </is>
      </c>
      <c r="G68" s="6" t="inlineStr">
        <is>
          <t>Rapport mensuel standard</t>
        </is>
      </c>
      <c r="H68" s="6" t="inlineStr">
        <is>
          <t>Rapport actuel s'il existe</t>
        </is>
      </c>
      <c r="I68" s="6" t="inlineStr"/>
      <c r="J68" s="6" t="inlineStr"/>
      <c r="K68" s="7" t="inlineStr"/>
    </row>
    <row r="69">
      <c r="A69" s="8" t="n">
        <v>68</v>
      </c>
      <c r="B69" s="8" t="inlineStr">
        <is>
          <t>Clôtures, budget et pilotage</t>
        </is>
      </c>
      <c r="C69" s="8" t="inlineStr">
        <is>
          <t>Le budget 2027 sera-t-il établi par activité, par centre de coût, par mois ? Qui l'élabore, et pour quelle date ?</t>
        </is>
      </c>
      <c r="D69" s="8" t="inlineStr">
        <is>
          <t>DAF</t>
        </is>
      </c>
      <c r="E69" s="8" t="inlineStr">
        <is>
          <t>Avant la production</t>
        </is>
      </c>
      <c r="F69" s="8" t="inlineStr">
        <is>
          <t>Budget et suivi des écarts.</t>
        </is>
      </c>
      <c r="G69" s="8" t="inlineStr"/>
      <c r="H69" s="8" t="inlineStr">
        <is>
          <t>Budget 2026</t>
        </is>
      </c>
      <c r="I69" s="8" t="inlineStr"/>
      <c r="J69" s="8" t="inlineStr"/>
      <c r="K69" s="9" t="inlineStr"/>
    </row>
    <row r="70">
      <c r="A70" s="6" t="n">
        <v>69</v>
      </c>
      <c r="B70" s="6" t="inlineStr">
        <is>
          <t>Clôtures, budget et pilotage</t>
        </is>
      </c>
      <c r="C70" s="6" t="inlineStr">
        <is>
          <t>Ces seuils d'alerte vous conviennent-ils : délai clients cible de 60 jours, 20 % de créances échues, marge transport minimale de 30 %, dépassement de budget de 10 %, approbation en attente depuis 3 jours ?</t>
        </is>
      </c>
      <c r="D70" s="6" t="inlineStr">
        <is>
          <t>Direction</t>
        </is>
      </c>
      <c r="E70" s="6" t="inlineStr">
        <is>
          <t>Ajustement</t>
        </is>
      </c>
      <c r="F70" s="6" t="inlineStr">
        <is>
          <t>Seuils d'alerte de chaque société (Administration &gt; Seuils et taux).</t>
        </is>
      </c>
      <c r="G70" s="6" t="inlineStr">
        <is>
          <t>Valeurs citées</t>
        </is>
      </c>
      <c r="H70" s="6" t="inlineStr"/>
      <c r="I70" s="6" t="inlineStr"/>
      <c r="J70" s="6" t="inlineStr"/>
      <c r="K70" s="7" t="inlineStr"/>
    </row>
    <row r="71">
      <c r="A71" s="8" t="n">
        <v>70</v>
      </c>
      <c r="B71" s="8" t="inlineStr">
        <is>
          <t>Clôtures, budget et pilotage</t>
        </is>
      </c>
      <c r="C71" s="8" t="inlineStr">
        <is>
          <t>Quel format d'états annuels déposez-vous (SYSCOHADA système normal ou minimal de trésorerie), avec quelles annexes ?</t>
        </is>
      </c>
      <c r="D71" s="8" t="inlineStr">
        <is>
          <t>Comptable</t>
        </is>
      </c>
      <c r="E71" s="8" t="inlineStr">
        <is>
          <t>Avant la production</t>
        </is>
      </c>
      <c r="F71" s="8" t="inlineStr">
        <is>
          <t>Bilan, compte de résultat, tableau des flux et notes.</t>
        </is>
      </c>
      <c r="G71" s="8" t="inlineStr">
        <is>
          <t>Système normal</t>
        </is>
      </c>
      <c r="H71" s="8" t="inlineStr">
        <is>
          <t>Derniers états déposés</t>
        </is>
      </c>
      <c r="I71" s="8" t="inlineStr"/>
      <c r="J71" s="8" t="inlineStr"/>
      <c r="K71" s="9" t="inlineStr"/>
    </row>
    <row r="72">
      <c r="A72" s="6" t="n">
        <v>71</v>
      </c>
      <c r="B72" s="6" t="inlineStr">
        <is>
          <t>Reprise des données 2026</t>
        </is>
      </c>
      <c r="C72" s="6" t="inlineStr">
        <is>
          <t>Le classeur 2026 transmis est-il la version définitive ? À quelle date est-il arrêté, et qui le valide ?</t>
        </is>
      </c>
      <c r="D72" s="6" t="inlineStr">
        <is>
          <t>DAF</t>
        </is>
      </c>
      <c r="E72" s="6" t="inlineStr">
        <is>
          <t>Avant la reprise</t>
        </is>
      </c>
      <c r="F72" s="6" t="inlineStr">
        <is>
          <t>Reprise intégrale de l'exercice 2026, contrôles de balances.</t>
        </is>
      </c>
      <c r="G72" s="6" t="inlineStr"/>
      <c r="H72" s="6" t="inlineStr">
        <is>
          <t>Classeur définitif</t>
        </is>
      </c>
      <c r="I72" s="6" t="inlineStr"/>
      <c r="J72" s="6" t="inlineStr"/>
      <c r="K72" s="7" t="inlineStr"/>
    </row>
    <row r="73">
      <c r="A73" s="8" t="n">
        <v>72</v>
      </c>
      <c r="B73" s="8" t="inlineStr">
        <is>
          <t>Reprise des données 2026</t>
        </is>
      </c>
      <c r="C73" s="8" t="inlineStr">
        <is>
          <t>Les soldes au 1er janvier 2026 (bilan 2025) sont-ils définitifs et approuvés, pour les deux sociétés ?</t>
        </is>
      </c>
      <c r="D73" s="8" t="inlineStr">
        <is>
          <t>DAF</t>
        </is>
      </c>
      <c r="E73" s="8" t="inlineStr">
        <is>
          <t>Avant la reprise</t>
        </is>
      </c>
      <c r="F73" s="8" t="inlineStr">
        <is>
          <t>Écritures d'ouverture.</t>
        </is>
      </c>
      <c r="G73" s="8" t="inlineStr"/>
      <c r="H73" s="8" t="inlineStr">
        <is>
          <t>Balance au 31/12/2025</t>
        </is>
      </c>
      <c r="I73" s="8" t="inlineStr"/>
      <c r="J73" s="8" t="inlineStr"/>
      <c r="K73" s="9" t="inlineStr"/>
    </row>
    <row r="74">
      <c r="A74" s="6" t="n">
        <v>73</v>
      </c>
      <c r="B74" s="6" t="inlineStr">
        <is>
          <t>Reprise des données 2026</t>
        </is>
      </c>
      <c r="C74" s="6" t="inlineStr">
        <is>
          <t>Quelles factures clients et fournisseurs restaient non réglées à la date de bascule, avec leurs échéances ?</t>
        </is>
      </c>
      <c r="D74" s="6" t="inlineStr">
        <is>
          <t>Comptable</t>
        </is>
      </c>
      <c r="E74" s="6" t="inlineStr">
        <is>
          <t>Avant la reprise</t>
        </is>
      </c>
      <c r="F74" s="6" t="inlineStr">
        <is>
          <t>Balance âgée et relances dès le premier jour.</t>
        </is>
      </c>
      <c r="G74" s="6" t="inlineStr"/>
      <c r="H74" s="6" t="inlineStr">
        <is>
          <t>Listes des impayés</t>
        </is>
      </c>
      <c r="I74" s="6" t="inlineStr"/>
      <c r="J74" s="6" t="inlineStr"/>
      <c r="K74" s="7" t="inlineStr"/>
    </row>
    <row r="75">
      <c r="A75" s="8" t="n">
        <v>74</v>
      </c>
      <c r="B75" s="8" t="inlineStr">
        <is>
          <t>Reprise des données 2026</t>
        </is>
      </c>
      <c r="C75" s="8" t="inlineStr">
        <is>
          <t>Les rapprochements bancaires 2026 sont-ils à jour ? Pouvez-vous fournir le dernier état de rapprochement de chaque compte ?</t>
        </is>
      </c>
      <c r="D75" s="8" t="inlineStr">
        <is>
          <t>Comptable</t>
        </is>
      </c>
      <c r="E75" s="8" t="inlineStr">
        <is>
          <t>Avant la reprise</t>
        </is>
      </c>
      <c r="F75" s="8" t="inlineStr">
        <is>
          <t>Point de départ du rapprochement dans la plateforme.</t>
        </is>
      </c>
      <c r="G75" s="8" t="inlineStr"/>
      <c r="H75" s="8" t="inlineStr">
        <is>
          <t>États de rapprochement</t>
        </is>
      </c>
      <c r="I75" s="8" t="inlineStr"/>
      <c r="J75" s="8" t="inlineStr"/>
      <c r="K75" s="9" t="inlineStr"/>
    </row>
    <row r="76">
      <c r="A76" s="6" t="n">
        <v>75</v>
      </c>
      <c r="B76" s="6" t="inlineStr">
        <is>
          <t>Reprise des données 2026</t>
        </is>
      </c>
      <c r="C76" s="6" t="inlineStr">
        <is>
          <t>À quelle date souhaitez-vous basculer (début de mois), et faut-il une période de double saisie ?</t>
        </is>
      </c>
      <c r="D76" s="6" t="inlineStr">
        <is>
          <t>Direction</t>
        </is>
      </c>
      <c r="E76" s="6" t="inlineStr">
        <is>
          <t>Avant la reprise</t>
        </is>
      </c>
      <c r="F76" s="6" t="inlineStr">
        <is>
          <t>Plan de bascule et date de mise en production.</t>
        </is>
      </c>
      <c r="G76" s="6" t="inlineStr"/>
      <c r="H76" s="6" t="inlineStr"/>
      <c r="I76" s="6" t="inlineStr"/>
      <c r="J76" s="6" t="inlineStr"/>
      <c r="K76" s="7" t="inlineStr"/>
    </row>
    <row r="77">
      <c r="A77" s="8" t="n">
        <v>76</v>
      </c>
      <c r="B77" s="8" t="inlineStr">
        <is>
          <t>Paie et social</t>
        </is>
      </c>
      <c r="C77" s="8" t="inlineStr">
        <is>
          <t>Avec quel outil la paie est-elle calculée ? Pouvez-vous fournir chaque mois l'écriture de paie (ou un fichier) par société et par activité ?</t>
        </is>
      </c>
      <c r="D77" s="8" t="inlineStr">
        <is>
          <t>Comptable</t>
        </is>
      </c>
      <c r="E77" s="8" t="inlineStr">
        <is>
          <t>Avant la production</t>
        </is>
      </c>
      <c r="F77" s="8" t="inlineStr">
        <is>
          <t>Import de l'écriture de paie, charges de personnel par activité (la paie elle-même n'est pas dans l'offre).</t>
        </is>
      </c>
      <c r="G77" s="8" t="inlineStr"/>
      <c r="H77" s="8" t="inlineStr">
        <is>
          <t>Journal de paie d'un mois</t>
        </is>
      </c>
      <c r="I77" s="8" t="inlineStr"/>
      <c r="J77" s="8" t="inlineStr"/>
      <c r="K77" s="9" t="inlineStr"/>
    </row>
    <row r="78">
      <c r="A78" s="6" t="n">
        <v>77</v>
      </c>
      <c r="B78" s="6" t="inlineStr">
        <is>
          <t>Paie et social</t>
        </is>
      </c>
      <c r="C78" s="6" t="inlineStr">
        <is>
          <t>Quelles cotisations et retenues sur salaires déclarez-vous (CNSS, RTS, versement forfaitaire, ONFPP) et à quelles échéances ?</t>
        </is>
      </c>
      <c r="D78" s="6" t="inlineStr">
        <is>
          <t>Comptable</t>
        </is>
      </c>
      <c r="E78" s="6" t="inlineStr">
        <is>
          <t>Avant la production</t>
        </is>
      </c>
      <c r="F78" s="6" t="inlineStr">
        <is>
          <t>Comptes sociaux et fiscaux, alertes d'échéances.</t>
        </is>
      </c>
      <c r="G78" s="6" t="inlineStr"/>
      <c r="H78" s="6" t="inlineStr"/>
      <c r="I78" s="6" t="inlineStr"/>
      <c r="J78" s="6" t="inlineStr"/>
      <c r="K78" s="7" t="inlineStr"/>
    </row>
    <row r="79">
      <c r="A79" s="8" t="n">
        <v>78</v>
      </c>
      <c r="B79" s="8" t="inlineStr">
        <is>
          <t>Utilisateurs et droits</t>
        </is>
      </c>
      <c r="C79" s="8" t="inlineStr">
        <is>
          <t>Qui utilisera la plateforme, avec quel rôle et pour quelle société (finance, direction, exploitation, chantiers, immobilier, cabinet) ?</t>
        </is>
      </c>
      <c r="D79" s="8" t="inlineStr">
        <is>
          <t>Direction</t>
        </is>
      </c>
      <c r="E79" s="8" t="inlineStr">
        <is>
          <t>Avant la production</t>
        </is>
      </c>
      <c r="F79" s="8" t="inlineStr">
        <is>
          <t>Comptes, profils et sociétés de chaque utilisateur.</t>
        </is>
      </c>
      <c r="G79" s="8" t="inlineStr"/>
      <c r="H79" s="8" t="inlineStr">
        <is>
          <t>Liste nominative</t>
        </is>
      </c>
      <c r="I79" s="8" t="inlineStr"/>
      <c r="J79" s="8" t="inlineStr"/>
      <c r="K79" s="9" t="inlineStr"/>
    </row>
    <row r="80">
      <c r="A80" s="6" t="n">
        <v>79</v>
      </c>
      <c r="B80" s="6" t="inlineStr">
        <is>
          <t>Utilisateurs et droits</t>
        </is>
      </c>
      <c r="C80" s="6" t="inlineStr">
        <is>
          <t>Quelles informations doivent rester confidentielles au sein de la finance (salaires nominatifs, comptes de la direction, dossiers du cabinet) ?</t>
        </is>
      </c>
      <c r="D80" s="6" t="inlineStr">
        <is>
          <t>Direction</t>
        </is>
      </c>
      <c r="E80" s="6" t="inlineStr">
        <is>
          <t>Avant la production</t>
        </is>
      </c>
      <c r="F80" s="6" t="inlineStr">
        <is>
          <t>Droits d'accès et cloisonnement entre sociétés et profils.</t>
        </is>
      </c>
      <c r="G80" s="6" t="inlineStr"/>
      <c r="H80" s="6" t="inlineStr"/>
      <c r="I80" s="6" t="inlineStr"/>
      <c r="J80" s="6" t="inlineStr"/>
      <c r="K80" s="7" t="inlineStr"/>
    </row>
  </sheetData>
  <autoFilter ref="A1:K80"/>
  <dataValidations count="1">
    <dataValidation sqref="E2:E80" showDropDown="0" showInputMessage="0" showErrorMessage="0" allowBlank="0" type="list">
      <formula1>"Avant la reprise,Avant la production,Ajustement"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0" t="inlineStr">
        <is>
          <t>Avancement des réponses</t>
        </is>
      </c>
    </row>
    <row r="3">
      <c r="A3" s="11" t="inlineStr">
        <is>
          <t>Priorité</t>
        </is>
      </c>
      <c r="B3" s="11" t="inlineStr">
        <is>
          <t>Questions</t>
        </is>
      </c>
      <c r="C3" s="11" t="inlineStr">
        <is>
          <t>Répondues</t>
        </is>
      </c>
      <c r="D3" s="11" t="inlineStr">
        <is>
          <t>Reste</t>
        </is>
      </c>
    </row>
    <row r="4">
      <c r="A4" s="12" t="inlineStr">
        <is>
          <t>Avant la reprise</t>
        </is>
      </c>
      <c r="B4" s="12">
        <f>COUNTIF(Questions!$E$2:$E$80,A4)</f>
        <v/>
      </c>
      <c r="C4" s="12">
        <f>COUNTIFS(Questions!$E$2:$E$80,A4,Questions!$I$2:$I$80,"&lt;&gt;")</f>
        <v/>
      </c>
      <c r="D4" s="12">
        <f>B4-C4</f>
        <v/>
      </c>
    </row>
    <row r="5">
      <c r="A5" s="12" t="inlineStr">
        <is>
          <t>Avant la production</t>
        </is>
      </c>
      <c r="B5" s="12">
        <f>COUNTIF(Questions!$E$2:$E$80,A5)</f>
        <v/>
      </c>
      <c r="C5" s="12">
        <f>COUNTIFS(Questions!$E$2:$E$80,A5,Questions!$I$2:$I$80,"&lt;&gt;")</f>
        <v/>
      </c>
      <c r="D5" s="12">
        <f>B5-C5</f>
        <v/>
      </c>
    </row>
    <row r="6">
      <c r="A6" s="12" t="inlineStr">
        <is>
          <t>Ajustement</t>
        </is>
      </c>
      <c r="B6" s="12">
        <f>COUNTIF(Questions!$E$2:$E$80,A6)</f>
        <v/>
      </c>
      <c r="C6" s="12">
        <f>COUNTIFS(Questions!$E$2:$E$80,A6,Questions!$I$2:$I$80,"&lt;&gt;")</f>
        <v/>
      </c>
      <c r="D6" s="12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2026-10-19T00:17:21Z</dcterms:created>
  <dcterms:modified xmlns:dcterms="http://purl.org/dc/terms/" xmlns:xsi="http://www.w3.org/2001/XMLSchema-instance" xsi:type="dcterms:W3CDTF">2026-10-19T00:17:21Z</dcterms:modified>
</cp:coreProperties>
</file>